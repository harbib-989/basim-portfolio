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arbib\Desktop\"/>
    </mc:Choice>
  </mc:AlternateContent>
  <bookViews>
    <workbookView xWindow="0" yWindow="0" windowWidth="20490" windowHeight="7755" firstSheet="1" activeTab="1"/>
  </bookViews>
  <sheets>
    <sheet name="بيانات المدربين" sheetId="8" state="veryHidden" r:id="rId1"/>
    <sheet name="توصيف المقرر التدريبي" sheetId="24" r:id="rId2"/>
    <sheet name="دليل استرشادي" sheetId="18" r:id="rId3"/>
    <sheet name="Data" sheetId="2" state="veryHidden" r:id="rId4"/>
  </sheets>
  <externalReferences>
    <externalReference r:id="rId5"/>
    <externalReference r:id="rId6"/>
    <externalReference r:id="rId7"/>
    <externalReference r:id="rId8"/>
    <externalReference r:id="rId9"/>
  </externalReferences>
  <definedNames>
    <definedName name="_xlnm._FilterDatabase" localSheetId="3" hidden="1">Data!#REF!</definedName>
    <definedName name="_xlnm._FilterDatabase" localSheetId="0" hidden="1">'بيانات المدربين'!$B$1:$N$314</definedName>
    <definedName name="_xlnm._FilterDatabase" localSheetId="1" hidden="1">'توصيف المقرر التدريبي'!$A$138:$A$181</definedName>
    <definedName name="_xlnm._FilterDatabase" localSheetId="2" hidden="1">'دليل استرشادي'!$A$141:$A$162</definedName>
    <definedName name="a1000000000000000" localSheetId="0">#REF!</definedName>
    <definedName name="a1000000000000000">#REF!</definedName>
    <definedName name="ae" localSheetId="0">#REF!</definedName>
    <definedName name="ae">#REF!</definedName>
    <definedName name="AF4." localSheetId="0">#REF!</definedName>
    <definedName name="AF4.">#REF!</definedName>
    <definedName name="Course" localSheetId="0">OFFSET([1]CourseList!#REF!,1,0,COUNTIF([1]CourseList!#REF!,"?*")-1)</definedName>
    <definedName name="Course">OFFSET([1]CourseList!#REF!,1,0,COUNTIF([1]CourseList!#REF!,"?*")-1)</definedName>
    <definedName name="CRITERIA_AA">OFFSET('[1]Calculation For Summary'!$AG$14,1,0,COUNTIF('[1]Calculation For Summary'!$AG$15:$AG$44,"&gt;=0"))</definedName>
    <definedName name="CRITERIA_AB">OFFSET('[1]Calculation For Summary'!$AH$14,1,0,COUNTIF('[1]Calculation For Summary'!$AH$15:$AH$44,"&gt;=0"))</definedName>
    <definedName name="CRITERIA_AC">OFFSET('[1]Calculation For Summary'!$AI$14,1,0,COUNTIF('[1]Calculation For Summary'!$AI$15:$AI$44,"&gt;=0"))</definedName>
    <definedName name="CRITERIA_AD" localSheetId="0">OFFSET('[2]Calculation For Summary'!$AG$14,1,0,COUNTIF('[2]Calculation For Summary'!$AG$15:$AG$44,"&gt;=0"))</definedName>
    <definedName name="CRITERIA_AD">OFFSET('[2]Calculation For Summary'!$AG$14,1,0,COUNTIF('[2]Calculation For Summary'!$AG$15:$AG$44,"&gt;=0"))</definedName>
    <definedName name="CRITERIA_AE" localSheetId="0">OFFSET('[2]Calculation For Summary'!$AH$14,1,0,COUNTIF('[2]Calculation For Summary'!$AH$15:$AH$44,"&gt;=0"))</definedName>
    <definedName name="CRITERIA_AE">OFFSET('[2]Calculation For Summary'!$AH$14,1,0,COUNTIF('[2]Calculation For Summary'!$AH$15:$AH$44,"&gt;=0"))</definedName>
    <definedName name="dep" localSheetId="0">OFFSET([3]Instractorlist!$F$1,1,0,COUNTIF([3]Instractorlist!$F:$F,"?*")-1)</definedName>
    <definedName name="dep">OFFSET([3]Instractorlist!$F$1,1,0,COUNTIF([3]Instractorlist!$F:$F,"?*")-1)</definedName>
    <definedName name="Dep_List" localSheetId="0">OFFSET('[4]Department Wise Summary'!$B$1,1,0,COUNTIF('[4]Department Wise Summary'!$B$2:$B$11,"*?"))</definedName>
    <definedName name="Dep_List">OFFSET('[4]Department Wise Summary'!$B$1,1,0,COUNTIF('[4]Department Wise Summary'!$B$2:$B$11,"*?"))</definedName>
    <definedName name="erange">OFFSET('[1]Dashboard (2)'!$F$7,1,0,COUNTIF('[1]Dashboard (2)'!$A$8:$A$357,"?*"))</definedName>
    <definedName name="ff" localSheetId="0">#REF!</definedName>
    <definedName name="ff">#REF!</definedName>
    <definedName name="Final_Score" localSheetId="0">OFFSET('[4]Department Wise Summary'!$K$1,1,0,COUNTIF('[4]Department Wise Summary'!$B$2:$B$11,"*?"))</definedName>
    <definedName name="Final_Score">OFFSET('[4]Department Wise Summary'!$K$1,1,0,COUNTIF('[4]Department Wise Summary'!$B$2:$B$11,"*?"))</definedName>
    <definedName name="INS" localSheetId="0">OFFSET([3]Instractorlist!$E$1,1,0,COUNTIF([3]Instractorlist!$E:$E,"?*")-1)</definedName>
    <definedName name="INS">OFFSET([3]Instractorlist!$E$1,1,0,COUNTIF([3]Instractorlist!$E:$E,"?*")-1)</definedName>
    <definedName name="Instractor" localSheetId="0">OFFSET([3]Instractorlist!$A$1,1,0,COUNTIF([3]Instractorlist!$A:$A,"?*")-1)</definedName>
    <definedName name="Instractor">OFFSET([3]Instractorlist!$A$1,1,0,COUNTIF([3]Instractorlist!$A:$A,"?*")-1)</definedName>
    <definedName name="Irange">OFFSET('[1]Dashboard (2)'!$A$7,1,0,COUNTIF('[1]Dashboard (2)'!$A$8:$A$357,"?*"))</definedName>
    <definedName name="_xlnm.Print_Area" localSheetId="1">'توصيف المقرر التدريبي'!$B$2:$DS$250</definedName>
    <definedName name="_xlnm.Print_Area" localSheetId="2">'دليل استرشادي'!$B$2:$DS$223</definedName>
    <definedName name="_xlnm.Print_Titles" localSheetId="0">'بيانات المدربين'!$1:$1</definedName>
    <definedName name="_xlnm.Print_Titles" localSheetId="1">'توصيف المقرر التدريبي'!$2:$9</definedName>
    <definedName name="_xlnm.Print_Titles" localSheetId="2">'دليل استرشادي'!$2:$9</definedName>
    <definedName name="Que">OFFSET('[1]Calculation For Summary'!$AF$14,1,0,COUNTIF('[1]Calculation For Summary'!$AF$15:$AF$44,"?*"))</definedName>
    <definedName name="Res_Num" localSheetId="0">OFFSET('[4]Department Wise Summary'!$C$1,1,0,COUNTIF('[4]Department Wise Summary'!$B$2:$B$11,"*?"))</definedName>
    <definedName name="Res_Num">OFFSET('[4]Department Wise Summary'!$C$1,1,0,COUNTIF('[4]Department Wise Summary'!$B$2:$B$11,"*?"))</definedName>
    <definedName name="zzz30" localSheetId="1">'توصيف المقرر التدريبي'!$EA$24</definedName>
    <definedName name="zzz30" localSheetId="2">'دليل استرشادي'!$EA$24</definedName>
    <definedName name="zzz30">#REF!</definedName>
    <definedName name="جديد" localSheetId="0">#REF!</definedName>
    <definedName name="جديد">#REF!</definedName>
    <definedName name="ع1">[5]Sheet1!$AR:$AR</definedName>
    <definedName name="ع10">[5]Sheet1!$BA:$BA</definedName>
    <definedName name="ع11">[5]Sheet1!$BB:$BB</definedName>
    <definedName name="ع12">[5]Sheet1!$BC:$BC</definedName>
    <definedName name="ع13">[5]Sheet1!$BD:$BD</definedName>
    <definedName name="ع14">[5]Sheet1!$BE:$BE</definedName>
    <definedName name="ع15">[5]Sheet1!$BF:$BF</definedName>
    <definedName name="ع16">[5]Sheet1!$BG:$BG</definedName>
    <definedName name="ع17">[5]Sheet1!$BH:$BH</definedName>
    <definedName name="ع18">[5]Sheet1!$BI:$BI</definedName>
    <definedName name="ع19">[5]Sheet1!$BJ:$BJ</definedName>
    <definedName name="ع2">[5]Sheet1!$AS:$AS</definedName>
    <definedName name="ع20">[5]Sheet1!$BK:$BK</definedName>
    <definedName name="ع21">[5]Sheet1!$BL:$BL</definedName>
    <definedName name="ع22">[5]Sheet1!$BO:$BO</definedName>
    <definedName name="ع23">[5]Sheet1!$BN:$BN</definedName>
    <definedName name="ع24">[5]Sheet1!$BM:$BM</definedName>
    <definedName name="ع3">[5]Sheet1!$AT:$AT</definedName>
    <definedName name="ع4">[5]Sheet1!$AU:$AU</definedName>
    <definedName name="ع5">[5]Sheet1!$AV:$AV</definedName>
    <definedName name="ع6">[5]Sheet1!$AW:$AW</definedName>
    <definedName name="ع7">[5]Sheet1!$AX:$AX</definedName>
    <definedName name="ع8">[5]Sheet1!$AY:$AY</definedName>
    <definedName name="ع9">[5]Sheet1!$AZ:$AZ</definedName>
    <definedName name="عنصر1">[5]!Table1[[#Headers],[تم توفير معلومات كافية لاستخدام نظام التدريب عن بُعد]]</definedName>
    <definedName name="عنصر10">[5]!Table1[[#Headers],[قدرة المدرب على إيصال المعلومة]]</definedName>
    <definedName name="عنصر11">[5]!Table1[[#Headers],[المدرب ينوع في استخدام وسائل وأساليب التدريب المتاحة]]</definedName>
    <definedName name="عنصر12">[5]!Table1[[#Headers],[يحفز المتدربين للاطلاع على المراجع المختلفة للمقرر التدريبي، وما يستجد في سوق العمل]]</definedName>
    <definedName name="عنصر13">[5]!Table1[[#Headers],[موضوعات المقرر التدريبي واضحة وسهلة الفهم]]</definedName>
    <definedName name="عنصر14">[5]!Table1[[#Headers],[كفاية الأنشطة والتطبيقات العملية لموضوعات المقرر التدريبي]]</definedName>
    <definedName name="عنصر15">[5]!Table1[[#Headers],[مواعيد الاختبار منظمة بطريقة جيدة ومحتواها متوافق مع ما تم التدريب عليه فعلياً]]</definedName>
    <definedName name="عنصر16">[5]!Table1[[#Headers],[أسئلة الاختبارات شاملة ومتنوعة تغطي كافة مواضيع المقرر التدريبي]]</definedName>
    <definedName name="عنصر17">[5]!Table1[[#Headers],[تم تزويدي بنتيجة اختباري في وقت مناسب]]</definedName>
    <definedName name="عنصر18">[5]!Table1[[#Headers],[تم تزويدي بالملاحظات على نتائج اختباري]]</definedName>
    <definedName name="عنصر19">[5]!Table1[[#Headers],[تم تزويدي بخطة توزيع درجات المقرر التدريبي]]</definedName>
    <definedName name="عنصر2">[5]!Table1[[#Headers],[سهولة التواصل مع المدرب من خلال قنوات الاتصال المتاحة على بوابة التدرب الإلكتروني]]</definedName>
    <definedName name="عنصر20">[5]!Table1[[#Headers],[يهتم المدرب بمتطلبات الصحة والسلامة المهنية]]</definedName>
    <definedName name="عنصر21">[5]!Table1[[#Headers],[يلتزم المدرب بالإجراءات والاحترازات الوقائية]]</definedName>
    <definedName name="عنصر22">[5]!Table1[[#Headers],[آلية التظلم والشكاوي واضحة بالنسبة لي]]</definedName>
    <definedName name="عنصر23">[5]!Table1[[#Headers],[أشعر بالرضا بشكل عام عن نظام التدريب الذي تطبقه المؤسسة]]</definedName>
    <definedName name="عنصر3">[5]!Table1[[#Headers],[استطيع الوصول بسهولة في الوقت المحدد لبث المحاضرة]]</definedName>
    <definedName name="عنصر4">[5]!Table1[[#Headers],[صوت المتحدث واضح]]</definedName>
    <definedName name="عنصر5">[5]!Table1[[#Headers],[وضوح العرض التقديمي للبرنامج ظاهر على الشاشة]]</definedName>
    <definedName name="عنصر6">[5]!Table1[[#Headers],[توفر الخطة التدريبية للمقرر]]</definedName>
    <definedName name="عنصر7">[5]!Table1[[#Headers],[مواضيع الخطة التدريبية للمقرر تتوافق مع ما تم التدريب عليه فعلياً]]</definedName>
    <definedName name="عنصر8">[5]!Table1[[#Headers],[التزام المدرب بأوقات التدريب (إدارة وقت جلسات التدريب - التقيد بالجدول الزمني للبرنامج)]]</definedName>
    <definedName name="عنصر9">[5]!Table1[[#Headers],[يتعامل مع المتدربين بالتقدير والاحترام]]</definedName>
    <definedName name="ل28" localSheetId="0">#REF!</definedName>
    <definedName name="ل28">#REF!</definedName>
    <definedName name="ى546">#REF!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24" l="1"/>
  <c r="CH151" i="18"/>
  <c r="E150" i="18" s="1"/>
  <c r="DK182" i="24"/>
  <c r="CH182" i="24"/>
  <c r="DA219" i="18"/>
  <c r="BM219" i="18"/>
  <c r="DA215" i="18"/>
  <c r="BM215" i="18"/>
  <c r="R215" i="18"/>
  <c r="DK190" i="24" l="1"/>
  <c r="DK188" i="24" s="1"/>
  <c r="DA245" i="24"/>
  <c r="DA241" i="24"/>
  <c r="BM241" i="24"/>
  <c r="R241" i="24"/>
  <c r="CH183" i="24"/>
  <c r="E182" i="24" s="1"/>
  <c r="AI32" i="24"/>
  <c r="DK192" i="24" l="1"/>
  <c r="AI32" i="18"/>
  <c r="DK160" i="18"/>
</calcChain>
</file>

<file path=xl/sharedStrings.xml><?xml version="1.0" encoding="utf-8"?>
<sst xmlns="http://schemas.openxmlformats.org/spreadsheetml/2006/main" count="3461" uniqueCount="1180">
  <si>
    <t>م</t>
  </si>
  <si>
    <t>رقم الموظف   ID</t>
  </si>
  <si>
    <t>اسم الموظف</t>
  </si>
  <si>
    <t xml:space="preserve">القسم التدريبي </t>
  </si>
  <si>
    <t>المؤهل</t>
  </si>
  <si>
    <t>التخصص الرئيسي</t>
  </si>
  <si>
    <t>مسمى التخصص</t>
  </si>
  <si>
    <t>التخصص الدقيق</t>
  </si>
  <si>
    <t>المسمى الوظيفي</t>
  </si>
  <si>
    <t>الجنسية</t>
  </si>
  <si>
    <t>البريد الاكتروني          E-mail</t>
  </si>
  <si>
    <t>الجوال     Mobile</t>
  </si>
  <si>
    <t>رقم المبنى</t>
  </si>
  <si>
    <t>رقم المكتب</t>
  </si>
  <si>
    <t>ابراهيم عبدالرحمن عبدالجليل الوكيل</t>
  </si>
  <si>
    <t>التقنية الإدارية والمالية</t>
  </si>
  <si>
    <t>بكالوريوس</t>
  </si>
  <si>
    <t>إحصاء</t>
  </si>
  <si>
    <t>Statistics</t>
  </si>
  <si>
    <t>مدرب أول ب</t>
  </si>
  <si>
    <t>ســعودي</t>
  </si>
  <si>
    <t>ialwakil@tvtc.gov.sa</t>
  </si>
  <si>
    <t>ابراهيم عتيق سالم الجهني</t>
  </si>
  <si>
    <t>دبلوم عالي (مافوق البكالوريوس)</t>
  </si>
  <si>
    <t>أعمال مكتبية</t>
  </si>
  <si>
    <t>مدربي الإدارة المكتبية</t>
  </si>
  <si>
    <t>ialjohany@tvtc.gov.sa</t>
  </si>
  <si>
    <t>احمد حمود الجهني</t>
  </si>
  <si>
    <t>ماجستير</t>
  </si>
  <si>
    <t>تسويق</t>
  </si>
  <si>
    <t>لايوجد</t>
  </si>
  <si>
    <t>aaljehani@tvtc.gov.sa</t>
  </si>
  <si>
    <t>احمد عباس محمد الحسن الجعلي</t>
  </si>
  <si>
    <t>العلوم التجارية الثانوية</t>
  </si>
  <si>
    <t>دبلوم عالي بعد البكالوريوس في برنامج مدرسي العلوم التجارية</t>
  </si>
  <si>
    <t>aaljaaly@tvtc.gov.sa</t>
  </si>
  <si>
    <t>احمد محمد محمد باشيخ</t>
  </si>
  <si>
    <t>محاسبة</t>
  </si>
  <si>
    <t>abashaikh@tvtc.gov.sa</t>
  </si>
  <si>
    <t>بندر عابد عايد اليوبي</t>
  </si>
  <si>
    <t>balyoubi@tvtc.gov.sa</t>
  </si>
  <si>
    <t>حسن عباس محمد قمصاني</t>
  </si>
  <si>
    <t>hkommosani@tvtc.gov.sa</t>
  </si>
  <si>
    <t>حسن عطيه عبدالله المالكي</t>
  </si>
  <si>
    <t>محاسبه</t>
  </si>
  <si>
    <t>halmalki2@tvtc.gov.sa</t>
  </si>
  <si>
    <t>خالد عباس محمد اللامي</t>
  </si>
  <si>
    <t>الادارة والاقتصاد</t>
  </si>
  <si>
    <t>kallami@tvtc.gov.sa</t>
  </si>
  <si>
    <t>رياض عبدالهادي مهدي الكشي الجهني</t>
  </si>
  <si>
    <t>نظم معلومات إدارية</t>
  </si>
  <si>
    <t>نظم المعلومات الادارية</t>
  </si>
  <si>
    <t>raljohani@tvtc.gov.sa</t>
  </si>
  <si>
    <t>زهير عبيد محمد عابد</t>
  </si>
  <si>
    <t>العلوم التجارية الخاص</t>
  </si>
  <si>
    <t>مدرب أول أ</t>
  </si>
  <si>
    <t>zabid@tvtc.gov.sa</t>
  </si>
  <si>
    <t>زياد عبدالحميد موسي السليماني</t>
  </si>
  <si>
    <t>العلوم التجارية</t>
  </si>
  <si>
    <t>zsulimay@tvtc.gov.sa</t>
  </si>
  <si>
    <t>سعد بن علي بن محمدالعبدلي الشريف</t>
  </si>
  <si>
    <t>إدارة أعمال</t>
  </si>
  <si>
    <t>ادارة اعمال</t>
  </si>
  <si>
    <t>saalshar@tvtc.gov.sa</t>
  </si>
  <si>
    <t>سعد حاسن محمد الغامدي</t>
  </si>
  <si>
    <t>salghamdi12@tvtc.gov.sa</t>
  </si>
  <si>
    <t>سعد عبدالله علي الغامدي</t>
  </si>
  <si>
    <t>ادارة أعمال تسويق</t>
  </si>
  <si>
    <t>salghamdi15@tvtc.gov.sa</t>
  </si>
  <si>
    <t>28208</t>
  </si>
  <si>
    <t xml:space="preserve">طاهر سعد هندي القرشي الزهراني </t>
  </si>
  <si>
    <t>علوم إدارية</t>
  </si>
  <si>
    <t>علوم ادارية</t>
  </si>
  <si>
    <t>مدرب أ</t>
  </si>
  <si>
    <t>taher@tvtc.gov.sa</t>
  </si>
  <si>
    <t>عابد عبيدالله ناشي الجريسي</t>
  </si>
  <si>
    <t>aaljuraysi@tvtc.gov.sa</t>
  </si>
  <si>
    <t>عامر عتيق سعيد الجهني</t>
  </si>
  <si>
    <t>إدارة عامة</t>
  </si>
  <si>
    <t>اقتصاد واداره</t>
  </si>
  <si>
    <t>aaljohaney@tvtc.gov.sa</t>
  </si>
  <si>
    <t>عايد عيد سالم الصاعدي</t>
  </si>
  <si>
    <t>محاسبة و مالية</t>
  </si>
  <si>
    <t>aalsaadi@tvtc.gov.sa</t>
  </si>
  <si>
    <t>عبدالرحمن احمد علي الجبيري</t>
  </si>
  <si>
    <t>اقتصاد</t>
  </si>
  <si>
    <t xml:space="preserve"> اقتصاد</t>
  </si>
  <si>
    <t>إقتصاد</t>
  </si>
  <si>
    <t>aaljubiry@tvtc.gov.sa</t>
  </si>
  <si>
    <t>عبدالرحمن عبدالله عبدالرحمن القرني</t>
  </si>
  <si>
    <t>aalqarni@tvtc.gov.sa</t>
  </si>
  <si>
    <t>عبدالرحمن عبدالهادي شائق العمري</t>
  </si>
  <si>
    <t>إدارة مكتبية</t>
  </si>
  <si>
    <t>aalamri@tvtc.gov.sa</t>
  </si>
  <si>
    <t>عبدالعزيز علي محمد القحطاني</t>
  </si>
  <si>
    <t>q_ziz@tvtc.gov.sa</t>
  </si>
  <si>
    <t>عبدالله حميد محمد الحربي</t>
  </si>
  <si>
    <t>aalharbi39@tvtc.gov.sa</t>
  </si>
  <si>
    <t>عبدالمنعم عبدالهادي احمد الشهري</t>
  </si>
  <si>
    <t>إدارة التسويق</t>
  </si>
  <si>
    <t>aalshehri17@tvtc.gov.sa</t>
  </si>
  <si>
    <t>عبيد عتيق مسعد العطوي السميري</t>
  </si>
  <si>
    <t>oalsumaire@tvtc.gov.sa</t>
  </si>
  <si>
    <t>عدنان محمد ابراهيم بحاري</t>
  </si>
  <si>
    <t>abahari@tvtc.gov.sa</t>
  </si>
  <si>
    <t>علي عايض علي القرني</t>
  </si>
  <si>
    <t>aalgrni@tvtc.gov.sa</t>
  </si>
  <si>
    <t>عوض سعيد عيد الحربي</t>
  </si>
  <si>
    <t>المحاسبة والمالية</t>
  </si>
  <si>
    <t>aalharbi1@tvtc.gov.sa</t>
  </si>
  <si>
    <t>فهد احمد علي الصقور</t>
  </si>
  <si>
    <t>falsgour@tvtc.gov.sa</t>
  </si>
  <si>
    <t>محمد بن احمد بن ابوبكرباقادر العامودي</t>
  </si>
  <si>
    <t>bkader@tvtc.gov.sa</t>
  </si>
  <si>
    <t>محمد حسن الغامدي</t>
  </si>
  <si>
    <t>mhalgh@tvtc.gov.sa</t>
  </si>
  <si>
    <t>محمد حميد حميد الجحدلي</t>
  </si>
  <si>
    <t>maljahdali@riyadah.com.sa</t>
  </si>
  <si>
    <t>محمد رشيد سفر الحربي</t>
  </si>
  <si>
    <t>أساليب كمية</t>
  </si>
  <si>
    <t>تحليل كمي</t>
  </si>
  <si>
    <t>malharbi2@tvtc.gov.sa</t>
  </si>
  <si>
    <t>محمد سعيد عمر منسي</t>
  </si>
  <si>
    <t>mmansi@tvtc.gov.sa</t>
  </si>
  <si>
    <t>محمد صالح علي السياري</t>
  </si>
  <si>
    <t>اداره عامه</t>
  </si>
  <si>
    <t>malsayari@tvtc.gov.sa</t>
  </si>
  <si>
    <t>محمد محسن علي الشهري</t>
  </si>
  <si>
    <t>mmalsh@tvtc.gov.sa</t>
  </si>
  <si>
    <t>مرضي حسن عبدالله الزهراني</t>
  </si>
  <si>
    <t>malzhrani1@tvtc.gov.sa</t>
  </si>
  <si>
    <t>مزهر علي مزهر القحطاني</t>
  </si>
  <si>
    <t>malqahtani4@tvtc.gov.sa</t>
  </si>
  <si>
    <t>منصور عبدالله عبدالعزيز الميمان</t>
  </si>
  <si>
    <t>دكتوراة</t>
  </si>
  <si>
    <t>الفلسفة</t>
  </si>
  <si>
    <t>أستاذ</t>
  </si>
  <si>
    <t>malmiman@tvtc.gov.sa</t>
  </si>
  <si>
    <t>ناصر سليم سالم الجهني</t>
  </si>
  <si>
    <t>nasar.a@tvtc.gov.sa</t>
  </si>
  <si>
    <t>نبيل عبدالكريم كرامه الجدعاني</t>
  </si>
  <si>
    <t>ادارة عامة</t>
  </si>
  <si>
    <t>مدرب ب</t>
  </si>
  <si>
    <t>naalgd@tvtc.gov.sa</t>
  </si>
  <si>
    <t>وليد حمزه حمزه مزين</t>
  </si>
  <si>
    <t>wal@tvtc.gov.sa</t>
  </si>
  <si>
    <t>يحي عبدالله ابراهيم زباني</t>
  </si>
  <si>
    <t>دبلوم</t>
  </si>
  <si>
    <t>علوم تجارية</t>
  </si>
  <si>
    <t>دبلوم عالي بعدالبكالوريوس برنامج مدرسي العلوم التجارية الثانوية</t>
  </si>
  <si>
    <t>yalzubani@tvtc.gov.sa</t>
  </si>
  <si>
    <t>يوسف عبدالله عبدالمحسن الفريح</t>
  </si>
  <si>
    <t>yalfereeh@tvtc.gov.sa</t>
  </si>
  <si>
    <t>ابراهيم محمد عبدالله الغامدي</t>
  </si>
  <si>
    <t>التقنية الكهربائية</t>
  </si>
  <si>
    <t>هندسة كهربائية و حاسبات</t>
  </si>
  <si>
    <t>هندسة كهربائية وحاسبات</t>
  </si>
  <si>
    <t>ialghamdi1@tvtc.gov.sa</t>
  </si>
  <si>
    <t>احمد اسماعيل علي الجيزاني</t>
  </si>
  <si>
    <t>هندسة كهربائية</t>
  </si>
  <si>
    <t>aialgi@tvtc.gov.sa</t>
  </si>
  <si>
    <t>احمد حميد عبدالعزيز الحربي</t>
  </si>
  <si>
    <t xml:space="preserve"> تقنية كهربائية</t>
  </si>
  <si>
    <t>تقنية كهربائية</t>
  </si>
  <si>
    <t>ahumd@tvtc.gov.sa</t>
  </si>
  <si>
    <t>احمد علي الاعجم</t>
  </si>
  <si>
    <t>هندسة شبكات واتصالات</t>
  </si>
  <si>
    <t>aalajam@tvtc.gov.sa</t>
  </si>
  <si>
    <t>احمد عواض سليم الثبيتي</t>
  </si>
  <si>
    <t xml:space="preserve"> القوى الكهربائية</t>
  </si>
  <si>
    <t>قوى كهربائية</t>
  </si>
  <si>
    <t>aalthobiti@tvtc.gov.sa</t>
  </si>
  <si>
    <t>اسماعيل الطاهر محمد مرواني</t>
  </si>
  <si>
    <t>الدكتوراه في الهندسة الكهربائية</t>
  </si>
  <si>
    <t>تونســي</t>
  </si>
  <si>
    <t>imarouani@tvtc.gov.sa</t>
  </si>
  <si>
    <t>أحمد محمد أحمد الزهراني</t>
  </si>
  <si>
    <t>ahmed_edan@tvtc.gov.sa</t>
  </si>
  <si>
    <t>بندر محمد علي العييدي</t>
  </si>
  <si>
    <t>هندسة الكهرباء والإلكترونيا</t>
  </si>
  <si>
    <t>هندسة الكهرباء والإلكترونيات</t>
  </si>
  <si>
    <t>baleyydi@tvtc.gov.sa</t>
  </si>
  <si>
    <t>جلال صدقه محمد مبارك</t>
  </si>
  <si>
    <t>هندسة كهربائية ونظم كمبيوتر</t>
  </si>
  <si>
    <t>jmubarak@tvtc.gov.sa</t>
  </si>
  <si>
    <t>حامد سقاف عبدالرحمن العيدروس</t>
  </si>
  <si>
    <t>halaidaroos@tvtc.gov.sa</t>
  </si>
  <si>
    <t>حسن مسعود محمد ميبر</t>
  </si>
  <si>
    <t>حمزه نوار عبداللطيف العبيدي</t>
  </si>
  <si>
    <t>الهندسة الكهربائية</t>
  </si>
  <si>
    <t>halobidi@tvtc.gov.sa</t>
  </si>
  <si>
    <t>خالد صالح عبدالرحمن الغامدي</t>
  </si>
  <si>
    <t>kalghamdi@tvtc.gov.sa</t>
  </si>
  <si>
    <t>سعيد رجب جعري الزهراني</t>
  </si>
  <si>
    <t>آلات و قوى كهربائية</t>
  </si>
  <si>
    <t>salzhrani1@tvtc.gov.sa</t>
  </si>
  <si>
    <t>سعيد عمر سعيد بالخضر</t>
  </si>
  <si>
    <t>هندسة كهرباء إلكترونية</t>
  </si>
  <si>
    <t>sbalkhder@tvtc.gov.sa</t>
  </si>
  <si>
    <t xml:space="preserve">سلطان صالح الجهني </t>
  </si>
  <si>
    <t xml:space="preserve">كهرباء والكترونيات </t>
  </si>
  <si>
    <t>saljuhani@tvtc.gov.sa</t>
  </si>
  <si>
    <t>صالح حمود محمدالعبدلي الغامدي</t>
  </si>
  <si>
    <t>الات وقوة كهربائية</t>
  </si>
  <si>
    <t>salghamdi17@tvtc.gov.sa</t>
  </si>
  <si>
    <t>صالح عبدالاله صالح كردي</t>
  </si>
  <si>
    <t>الات وقوى كهربائية</t>
  </si>
  <si>
    <t>skurdi@tvtc.gov.sa</t>
  </si>
  <si>
    <t>طالب مطر نويفع المحمادي</t>
  </si>
  <si>
    <t>talmehmadi@tvtc.gov.sa</t>
  </si>
  <si>
    <t>عبدالرحمن محمد عبدالله اليابس</t>
  </si>
  <si>
    <t>alyabes@tvtc.gov.sa</t>
  </si>
  <si>
    <t>عبدالسلام العتري أحمد العماري</t>
  </si>
  <si>
    <t>لدكتورا في الهندسة الكهربائية</t>
  </si>
  <si>
    <t>ablamari@tvtc.gov.sa</t>
  </si>
  <si>
    <t>عثمان علي عطيه الغامدي</t>
  </si>
  <si>
    <t>الهندسة الكهربائية والالكترونية المتقدمة</t>
  </si>
  <si>
    <t>oalghamdi@tvtc.gov.sa</t>
  </si>
  <si>
    <t>عصام عطية الله الانصاري</t>
  </si>
  <si>
    <t>علوم الهندسة الكهربائيه</t>
  </si>
  <si>
    <t>essam@tvtc.gov.sa</t>
  </si>
  <si>
    <t>علي سعيد علي الغامدي</t>
  </si>
  <si>
    <t>aalghamdi33@tvtc.gov.sa</t>
  </si>
  <si>
    <t>علي عامر محمد العسيري</t>
  </si>
  <si>
    <t>aalasiri@tvtc.gov.sa</t>
  </si>
  <si>
    <t>فهد سافر رزيق الحربي</t>
  </si>
  <si>
    <t>تقنية الهندسة الكهربائية</t>
  </si>
  <si>
    <t>fsalhaR@tvtc.gov.sa</t>
  </si>
  <si>
    <t>فهد محمد علي الخشرمي الشهري</t>
  </si>
  <si>
    <t>بكالوريوس هندسة تقنية</t>
  </si>
  <si>
    <t>fahad.a@tvtc.gov.sa</t>
  </si>
  <si>
    <t>ماهر محمد اندوت قدح</t>
  </si>
  <si>
    <t>آلات وقوى كهربائية</t>
  </si>
  <si>
    <t>mahir97@tvtc.gov.sa</t>
  </si>
  <si>
    <t>محمد خوشال عاشور سليمان</t>
  </si>
  <si>
    <t>تركيبات قوى كهربائية</t>
  </si>
  <si>
    <t>mksole@tvtc.gov.sa</t>
  </si>
  <si>
    <t>محمد علي مسفر المالكي</t>
  </si>
  <si>
    <t>تقنية تركيبات القوى الكهربائية</t>
  </si>
  <si>
    <t>malmalki6@tvtc.gov.sa</t>
  </si>
  <si>
    <t>مساعد سعيداليزيدي</t>
  </si>
  <si>
    <t>m.alyazeedi@tvtc.gov.sa</t>
  </si>
  <si>
    <t>نايف منصور فضل حسين الخميسي</t>
  </si>
  <si>
    <t>n.alkhamisi@tvtc.gov.sa</t>
  </si>
  <si>
    <t>احمد حسن احمد قيسي</t>
  </si>
  <si>
    <t>التقنية المدنية والمعمارية</t>
  </si>
  <si>
    <t>هندسة مدنية</t>
  </si>
  <si>
    <t>ahmad0@tvtc.gov.sa</t>
  </si>
  <si>
    <t>احمد سعد عطيةالله اللهيبي</t>
  </si>
  <si>
    <t>الهندسة المدنية والانشائية</t>
  </si>
  <si>
    <t>الإنشاءات والتحقيق الجنائي</t>
  </si>
  <si>
    <t>aallohaibi@tvtc.gov.sa</t>
  </si>
  <si>
    <t>احمد علي محمد الغامدي</t>
  </si>
  <si>
    <t>عمارة إسلامية</t>
  </si>
  <si>
    <t>العمارة الاسلامية</t>
  </si>
  <si>
    <t>aalghamedi2@tvtc.gov.sa</t>
  </si>
  <si>
    <t>احمد محمد احمد عبدالرحمن المطوع</t>
  </si>
  <si>
    <t>a.almotawa@tvtc.gov.sa</t>
  </si>
  <si>
    <t>ايوب صالح احمد البيومي</t>
  </si>
  <si>
    <t>a.albayuomi@tvtc.gov.sa</t>
  </si>
  <si>
    <t>بدر عطيه غفير الحارثي</t>
  </si>
  <si>
    <t>تقنية مساحة</t>
  </si>
  <si>
    <t>balhrthi@tvtc.gov.sa</t>
  </si>
  <si>
    <t>بركات محمد موسى السلامي</t>
  </si>
  <si>
    <t>الهندسة المعمارية</t>
  </si>
  <si>
    <t>balsallami@tvtc.gov.sa</t>
  </si>
  <si>
    <t>جميل سعيد جميل عسلي</t>
  </si>
  <si>
    <t>هندسة عمارة</t>
  </si>
  <si>
    <t>jasali@tvtc.gov.sa</t>
  </si>
  <si>
    <t>حسين حمد جاروع السيامي</t>
  </si>
  <si>
    <t>هندسة معمارية</t>
  </si>
  <si>
    <t>مهندس معماري</t>
  </si>
  <si>
    <t>halsiami@tvtc.gov.sa</t>
  </si>
  <si>
    <t>حمدان معيض عاشور الزهراني</t>
  </si>
  <si>
    <t>عمارة البيئة</t>
  </si>
  <si>
    <t>عمارة</t>
  </si>
  <si>
    <t>halzahrani2@tvtc.gov.sa</t>
  </si>
  <si>
    <t>حميد عيد حميدان الصبحي</t>
  </si>
  <si>
    <t>halsubhi@tvtc.gov.sa</t>
  </si>
  <si>
    <t>خالد دخيل الله حسين الثقفي</t>
  </si>
  <si>
    <t>هندسة مدنية - هندسة النقل</t>
  </si>
  <si>
    <t>kalthaqafi@tvtc.gov.sa</t>
  </si>
  <si>
    <t>خالد علي محمد القحطاني</t>
  </si>
  <si>
    <t>تقنية التشييد</t>
  </si>
  <si>
    <t>kqhtani@tvtc.gov.sa</t>
  </si>
  <si>
    <t>خيرات علي علي دغريري</t>
  </si>
  <si>
    <t>دبلوم عام في التربية</t>
  </si>
  <si>
    <t>kdagriry@tvtc.gov.sa</t>
  </si>
  <si>
    <t>سمير بن محمد صالح بن فرج اللحياني</t>
  </si>
  <si>
    <t>تشييد</t>
  </si>
  <si>
    <t>sallehyany@tvtc.gov.sa</t>
  </si>
  <si>
    <t>سمير محمد زينول فلمبان</t>
  </si>
  <si>
    <t>مدرس رسم</t>
  </si>
  <si>
    <t>sflimban@tvtc.gov.sa</t>
  </si>
  <si>
    <t>ظافر سعد علي الشهري</t>
  </si>
  <si>
    <t>civil engineering structure</t>
  </si>
  <si>
    <t>civil@tvtc.gov.sa</t>
  </si>
  <si>
    <t>عادل عبدالمحسن محمود عامودي</t>
  </si>
  <si>
    <t>مساحة</t>
  </si>
  <si>
    <t>بكالوريوس في العلوم</t>
  </si>
  <si>
    <t>a.amoudi@tvtc.gov.sa</t>
  </si>
  <si>
    <t>عبدالله صالح عبدالله لبنى</t>
  </si>
  <si>
    <t>العلوم في العمارة</t>
  </si>
  <si>
    <t>عمارة وعلوم البناء</t>
  </si>
  <si>
    <t>abdallah@tvtc.gov.sa</t>
  </si>
  <si>
    <t>عبدالله عيضه بخيت المالكي</t>
  </si>
  <si>
    <t>مدني</t>
  </si>
  <si>
    <t>aalmalki5@tvtc.gov.sa</t>
  </si>
  <si>
    <t>عبدالمنعم محمد العربي بن وناس</t>
  </si>
  <si>
    <t>a.ouanas@tvtc.gov.sa</t>
  </si>
  <si>
    <t>عبدالوهاب عبدالله علي العسيري</t>
  </si>
  <si>
    <t>a.alasiri1@tvtc.gov.sa</t>
  </si>
  <si>
    <t>علي سراج عبدالله الغامدي</t>
  </si>
  <si>
    <t>aalghamdi26@tvtc.gov.sa</t>
  </si>
  <si>
    <t>فواز بخيت علي الزهراني</t>
  </si>
  <si>
    <t>falzahrani@tvtc.gov.sa</t>
  </si>
  <si>
    <t>لاحق سايف المقاطي</t>
  </si>
  <si>
    <t>lalmogati@tvtc.gov.sa</t>
  </si>
  <si>
    <t>ماجد مرزوق قزعان الحمادي العتيبي</t>
  </si>
  <si>
    <t xml:space="preserve"> إدارة مشاريع في التشييد</t>
  </si>
  <si>
    <t>إدارة مشاريع في التشييد</t>
  </si>
  <si>
    <t>malotaibi2@tvtc.gov.sa</t>
  </si>
  <si>
    <t>ماهر بن محمدصديق بن كرمت علي البنقالى</t>
  </si>
  <si>
    <t>maheer2004@tvtc.gov.sa</t>
  </si>
  <si>
    <t>محمد سعيد محمد ال صبيح الغامدي</t>
  </si>
  <si>
    <t>malghamdi1@tvtc.gov.sa</t>
  </si>
  <si>
    <t>محمد عامر احمد الحفظي</t>
  </si>
  <si>
    <t>التشييد</t>
  </si>
  <si>
    <t>تقنية تشييد</t>
  </si>
  <si>
    <t>malhfdi@tvtc.gov.sa</t>
  </si>
  <si>
    <t>محمد عبدالله مرعي العمري</t>
  </si>
  <si>
    <t>معماري</t>
  </si>
  <si>
    <t>maamri@tvtc.gov.sa</t>
  </si>
  <si>
    <t>محمد علي هادي الشاعري عسيري</t>
  </si>
  <si>
    <t>بكالوريوس الهندسة التقنية</t>
  </si>
  <si>
    <t>massery1@tvtc.gov.sa</t>
  </si>
  <si>
    <t>محمد عوض محمد الشهري</t>
  </si>
  <si>
    <t>malshehri2@tvtc.gov.sa</t>
  </si>
  <si>
    <t>مشاري محمد سعد المالكي</t>
  </si>
  <si>
    <t>malmalki5@tvtc.gov.sa</t>
  </si>
  <si>
    <t>وليد خالد عبداللطيف فلمبان</t>
  </si>
  <si>
    <t>wfilmban@tvtc.gov.sa</t>
  </si>
  <si>
    <t>يوسف عبدالجبار عميره المرعشي</t>
  </si>
  <si>
    <t xml:space="preserve"> ادارة التشييد</t>
  </si>
  <si>
    <t>بكالوريوس العلوم</t>
  </si>
  <si>
    <t>ادارة التشييد</t>
  </si>
  <si>
    <t>yalmurashi@tvtc.gov.sa</t>
  </si>
  <si>
    <t>ابراهيم عبدالله جميل حريري</t>
  </si>
  <si>
    <t>التقنية الميكانيكية</t>
  </si>
  <si>
    <t>أنظمة التصنيع المتقدمة</t>
  </si>
  <si>
    <t xml:space="preserve"> أنظمة التصنيع المتقدمة</t>
  </si>
  <si>
    <t>ihariry@tvtc.gov.sa</t>
  </si>
  <si>
    <t>ابراهيم محسن رشيد الحربي</t>
  </si>
  <si>
    <t xml:space="preserve"> الانتاج الميكانيكي</t>
  </si>
  <si>
    <t>الانتاج الميكانيكي</t>
  </si>
  <si>
    <t>إنتاج</t>
  </si>
  <si>
    <t>ialharbi@tvtc.gov.sa</t>
  </si>
  <si>
    <t>احمد براك حمدان العتيبي</t>
  </si>
  <si>
    <t>هندسة ميكانيكية</t>
  </si>
  <si>
    <t>aalutaibi@tvtc.gov.sa</t>
  </si>
  <si>
    <t>احمد حسن حسين المالكي</t>
  </si>
  <si>
    <t xml:space="preserve"> هندسة ميكانيكية</t>
  </si>
  <si>
    <t>هندسه ميكانيكيه</t>
  </si>
  <si>
    <t>aalmalki9@tvtc.gov.sa</t>
  </si>
  <si>
    <t>احمد عبدالرحمن المحمادي</t>
  </si>
  <si>
    <t>تبريد وتكييف</t>
  </si>
  <si>
    <t>aulmehmadi@tvtc.gov.sa</t>
  </si>
  <si>
    <t>بندر ابكر عمر غروي</t>
  </si>
  <si>
    <t xml:space="preserve"> إنتاج</t>
  </si>
  <si>
    <t>bgharawi@tvtc.gov.sa</t>
  </si>
  <si>
    <t>تركي محمد جارالله المالكى</t>
  </si>
  <si>
    <t>talmalki@tvtc.gov.sa</t>
  </si>
  <si>
    <t>ثامر عبدالرحمن محمد الغامدي</t>
  </si>
  <si>
    <t xml:space="preserve"> تقنية التصنيع المتقدمة</t>
  </si>
  <si>
    <t>تقنية التصنيع المتقدمة</t>
  </si>
  <si>
    <t>talghamdi3@tvtc.gov.sa</t>
  </si>
  <si>
    <t>جاسر مبروك مرزوق البيشي</t>
  </si>
  <si>
    <t>jalbishi@tvtc.gov.sa</t>
  </si>
  <si>
    <t>حاتم حامد سعد اللهيبي الحربي</t>
  </si>
  <si>
    <t>halharbi@tvtc.gov.sa</t>
  </si>
  <si>
    <t>حسن سالم عبدالرحمن العيدروس</t>
  </si>
  <si>
    <t>تعليم التقنية الميكانيكية</t>
  </si>
  <si>
    <t>halidaroos@tvtc.gov.sa</t>
  </si>
  <si>
    <t>حسن صديق حسن امام</t>
  </si>
  <si>
    <t>ادارة المشاريع الهندسية</t>
  </si>
  <si>
    <t>hemam@tvtc.gov.sa</t>
  </si>
  <si>
    <t>حمود حامد صلاح الجابري</t>
  </si>
  <si>
    <t xml:space="preserve"> تعليم التقنية الميكانيكية</t>
  </si>
  <si>
    <t>نتاج</t>
  </si>
  <si>
    <t>haljabri@tvtc.gov.sa</t>
  </si>
  <si>
    <t>خالد حامد مجدوع ال مجدوع الغامدي</t>
  </si>
  <si>
    <t>khalidhamed@tvtc.gov.sa</t>
  </si>
  <si>
    <t>خالد حمود حسين الجدعاني</t>
  </si>
  <si>
    <t xml:space="preserve"> تبريد وتكييف</t>
  </si>
  <si>
    <t>kaljadani@tvtc.gov.sa</t>
  </si>
  <si>
    <t>خالد سعيد عطيه الزهراني</t>
  </si>
  <si>
    <t>بدون</t>
  </si>
  <si>
    <t>khaled1@tvtc.gov.sa</t>
  </si>
  <si>
    <t>خالد عبدالعزيزالطيب</t>
  </si>
  <si>
    <t>kaltayib@tvtc.gov.sa</t>
  </si>
  <si>
    <t>خالد علي احمد القحطاني</t>
  </si>
  <si>
    <t>kalqhatani@tvtc.gov.sa</t>
  </si>
  <si>
    <t>خالد فرج نغيمش الجهني</t>
  </si>
  <si>
    <t>kaljohane@tvtc.gov.sa</t>
  </si>
  <si>
    <t>رأفت احمد عبدالله يماني</t>
  </si>
  <si>
    <t>rafaty@tvtc.gov.sa</t>
  </si>
  <si>
    <t>رده عويمر رده المحمادي</t>
  </si>
  <si>
    <t>انتاج وتصميم نظم ميكانيكية</t>
  </si>
  <si>
    <t>ralmehmady@tvtc.gov.sa</t>
  </si>
  <si>
    <t>سعيد عبدالله سعيد باشماخ</t>
  </si>
  <si>
    <t xml:space="preserve"> مدرس</t>
  </si>
  <si>
    <t>sbashamakh@tvtc.gov.sa</t>
  </si>
  <si>
    <t>سعيد مرضي علي البحيري القرني</t>
  </si>
  <si>
    <t>تقنية الهندسة الميكانيكية</t>
  </si>
  <si>
    <t>saeed623@tvtc.gov.sa</t>
  </si>
  <si>
    <t>سفر صالح احمد سعبد الغامدي</t>
  </si>
  <si>
    <t>salgamdi1@tvtc.gov.sa</t>
  </si>
  <si>
    <t>سليم محمد احمد السالمي</t>
  </si>
  <si>
    <t xml:space="preserve"> الهندسة الميكانيكية</t>
  </si>
  <si>
    <t>salsalmi@tvtc.gov.sa</t>
  </si>
  <si>
    <t>سمير صالح عبدالرحيم الخالد</t>
  </si>
  <si>
    <t xml:space="preserve"> تقنية إنتاج</t>
  </si>
  <si>
    <t>تقنية إنتاج</t>
  </si>
  <si>
    <t>salkhalid@tvtc.gov.sa</t>
  </si>
  <si>
    <t>شادي احمد علي الثبيتي</t>
  </si>
  <si>
    <t>salthobity@tvtc.gov.sa</t>
  </si>
  <si>
    <t>صادق صديق عبدالخالق حولدار</t>
  </si>
  <si>
    <t>showldar@tvtc.gov.sa</t>
  </si>
  <si>
    <t>طلحه علي احمد مليباري</t>
  </si>
  <si>
    <t>tmeleibari@tvtc.gov.sa</t>
  </si>
  <si>
    <t>عادل حسين علي صنبع</t>
  </si>
  <si>
    <t>komet_1399@tvtc.gov.sa</t>
  </si>
  <si>
    <t>عاطف حسين عوض الكثيري</t>
  </si>
  <si>
    <t>الهندسة الميكانيكية المتقدمة</t>
  </si>
  <si>
    <t>الإنتاج</t>
  </si>
  <si>
    <t>aalkathiri@tvtc.gov.sa</t>
  </si>
  <si>
    <t>عبدالحكيم سعد محمد ابوحيمد</t>
  </si>
  <si>
    <t>aabuhaimid@tvtc.gov.sa</t>
  </si>
  <si>
    <t>عبدالرحمن سعدالعصيمي</t>
  </si>
  <si>
    <t>التقنية الميكانيكية (تبريد وتكييف)</t>
  </si>
  <si>
    <t>هندسة مكانيكية</t>
  </si>
  <si>
    <t>aalosaimi4@tvtc.gov.sa</t>
  </si>
  <si>
    <t>عبدالرحمن سعيد هياس الشيخي</t>
  </si>
  <si>
    <t>aalshikhy@tvtc.gov.sa</t>
  </si>
  <si>
    <t>عبدالرحمن طلق مطلق العويمري</t>
  </si>
  <si>
    <t>تقنية هندسة التصنيع</t>
  </si>
  <si>
    <t>atmma@tvtc.gov.sa</t>
  </si>
  <si>
    <t>عبدالرؤوف سعيد علي حبيب الله</t>
  </si>
  <si>
    <t>الطاقة الحرارية وهندسة السوائل</t>
  </si>
  <si>
    <t>abuferas@tvtc.gov.sa</t>
  </si>
  <si>
    <t>عبدالعزيز ناجم الزهراني</t>
  </si>
  <si>
    <t>dhaif@tvtc.gov.sa</t>
  </si>
  <si>
    <t>عبدالله فيصل الحربي</t>
  </si>
  <si>
    <t>a.alharbi16@tvtc.gov.sa</t>
  </si>
  <si>
    <t>عبدالله محمد سعيد الصبحي الحربي</t>
  </si>
  <si>
    <t>aalharbi15@tvtc.gov.sa</t>
  </si>
  <si>
    <t>عمر طلعت ابراهيم ابوالفرج</t>
  </si>
  <si>
    <t>oaboulfaraj@tvtc.gov.sa</t>
  </si>
  <si>
    <t>عيسى يحي علي النعمي</t>
  </si>
  <si>
    <t>حقن البلاستيك والقوالب الدقيقة</t>
  </si>
  <si>
    <t>ealnami@tvtc.gov.sa</t>
  </si>
  <si>
    <t>فهد محمد محمد برناوي</t>
  </si>
  <si>
    <t>fbarnawi@tvtc.gov.sa</t>
  </si>
  <si>
    <t>ماجد عبدالله زيد الصيدلاني</t>
  </si>
  <si>
    <t>malseidalani@tvtc.gov.sa</t>
  </si>
  <si>
    <t>مازن احمدعلوي محمد السيد</t>
  </si>
  <si>
    <t>malsayed@tvtc.gov.sa</t>
  </si>
  <si>
    <t>محمد احمد محمد الغامدي</t>
  </si>
  <si>
    <t>malshwati@tvtc.gov.sa</t>
  </si>
  <si>
    <t>محمد بن سعيد بن صالح الغامدي</t>
  </si>
  <si>
    <t>هندسة صناعية</t>
  </si>
  <si>
    <t>malghamdi7@tvtc.gov.sa</t>
  </si>
  <si>
    <t>محمد ثابت الشهري</t>
  </si>
  <si>
    <t>تقنية ميكانيكية</t>
  </si>
  <si>
    <t>malshehri1@tvtc.gov.sa</t>
  </si>
  <si>
    <t>محمد حمود سعيد الحبشي</t>
  </si>
  <si>
    <t>هندسة التصنيع</t>
  </si>
  <si>
    <t>malhabshi@tvtc.gov.sa</t>
  </si>
  <si>
    <t>محمد طلال ثابت السده</t>
  </si>
  <si>
    <t>malsaddah@tvtc.gov.sa</t>
  </si>
  <si>
    <t>محمد عبدالعزيز بكر قطب</t>
  </si>
  <si>
    <t>mqutub@tvtc.gov.sa</t>
  </si>
  <si>
    <t>محمد عبدالله علي باكوبن</t>
  </si>
  <si>
    <t>هندسة انتاج</t>
  </si>
  <si>
    <t>mbakoben@tvtc.gov.sa</t>
  </si>
  <si>
    <t>محمد هادي علي عرار</t>
  </si>
  <si>
    <t>لهندسة الميكانيكية والتصنيع باستخدام الحاسب</t>
  </si>
  <si>
    <t>الهندسة الميكانيكية والتصنيع باستخدام الحاسب</t>
  </si>
  <si>
    <t>marar@tvtc.gov.sa</t>
  </si>
  <si>
    <t>مشاري تركي حمدان العصيمي</t>
  </si>
  <si>
    <t>malosaimi1@tvtc.gov.sa</t>
  </si>
  <si>
    <t>مشبب مبارك حسين آل قيس القحطاني</t>
  </si>
  <si>
    <t>moshabab@tvtc.gov.sa</t>
  </si>
  <si>
    <t>منير جميل سعد الطائفي</t>
  </si>
  <si>
    <t>muner@tvtc.gov.sa</t>
  </si>
  <si>
    <t>منير عبدالرحمن محمد حلواني</t>
  </si>
  <si>
    <t>ميكانيكا عامة</t>
  </si>
  <si>
    <t>mhalawani@tvtc.gov.sa</t>
  </si>
  <si>
    <t>موسى سعيد جابر الزهراني</t>
  </si>
  <si>
    <t>هندسة نظم التصنيع</t>
  </si>
  <si>
    <t>Manufacturing Engineering</t>
  </si>
  <si>
    <t>malzahrani10@tvtc.gov.sa</t>
  </si>
  <si>
    <t>هايل عبدالله الصعيدي</t>
  </si>
  <si>
    <t>بكالوريوس في الهندسة التقنية</t>
  </si>
  <si>
    <t>h.alsaeedi@tvtc.gov.sa</t>
  </si>
  <si>
    <t>وجدي حسين محمد كميت</t>
  </si>
  <si>
    <t>وليد مسعد دخيل الله الرحيلي</t>
  </si>
  <si>
    <t>walrehily@tvtc.gov.sa</t>
  </si>
  <si>
    <t>خالد محمد عبده خياط</t>
  </si>
  <si>
    <t>تقنية البيئة</t>
  </si>
  <si>
    <t xml:space="preserve">إنتاج </t>
  </si>
  <si>
    <t xml:space="preserve">هندسه ميكانيكية </t>
  </si>
  <si>
    <t>kkhyat@tvtc.gov.sa</t>
  </si>
  <si>
    <t>سجاد صالح العبدالله</t>
  </si>
  <si>
    <t>إدارة البيئة والصحة والسلامة</t>
  </si>
  <si>
    <t>sajjada@tvtc.gov.sa</t>
  </si>
  <si>
    <t>عادل سعد خلوفه العميري الشهري</t>
  </si>
  <si>
    <t>السلامة والصحة المهنية</t>
  </si>
  <si>
    <t>adalshehri@tvtc.gov.sa</t>
  </si>
  <si>
    <t xml:space="preserve">عبدالرحمن محمد الشهري </t>
  </si>
  <si>
    <t>ادارة السلامة والبيئة</t>
  </si>
  <si>
    <t xml:space="preserve">السلامة والصحة المهنية </t>
  </si>
  <si>
    <t>aalshehri30@tvtc.gov.sa</t>
  </si>
  <si>
    <t>فهد عايش عايد الرفاعي</t>
  </si>
  <si>
    <t xml:space="preserve">الهندسة الصناعية </t>
  </si>
  <si>
    <t>falrefaie@tvtc.gov.sa</t>
  </si>
  <si>
    <t>فهد يحيى جابر القحطاني</t>
  </si>
  <si>
    <t>falgahtani@tvtc.gov.sa</t>
  </si>
  <si>
    <t>محمد سعد القحطاني</t>
  </si>
  <si>
    <t>علوم البيئة</t>
  </si>
  <si>
    <t>moalqahtani@tvtc.gov.sa</t>
  </si>
  <si>
    <t>محمد عبدالله محمد ال زريع</t>
  </si>
  <si>
    <t xml:space="preserve">إدارة البيئية والسلامة الصحية </t>
  </si>
  <si>
    <t>ادارة البيئة والسلامة الصحية</t>
  </si>
  <si>
    <t>malzuraya@tvtc.gov.sa</t>
  </si>
  <si>
    <t>وائل محمد عبد العزيز الحجاجي</t>
  </si>
  <si>
    <t>walhajjaji@tvtc.gov.sa</t>
  </si>
  <si>
    <t>اشرف جابر الودياني</t>
  </si>
  <si>
    <t>تقنية السياحة والضيافة</t>
  </si>
  <si>
    <t>تقنية سياحة وسفر</t>
  </si>
  <si>
    <t>السفر والسياحة</t>
  </si>
  <si>
    <t xml:space="preserve"> سياحة وسفر</t>
  </si>
  <si>
    <t>aalwedyane@tvtc.gov.sa</t>
  </si>
  <si>
    <t>بندر عبدالله علي المقبل</t>
  </si>
  <si>
    <t>سياحة وسفر</t>
  </si>
  <si>
    <t>balmuqbil@tvtc.gov.sa</t>
  </si>
  <si>
    <t>ثابت احمد ثابت العمري</t>
  </si>
  <si>
    <t>فندقة</t>
  </si>
  <si>
    <t>إدارة فندقية</t>
  </si>
  <si>
    <t>thabita@tvtc.gov.sa</t>
  </si>
  <si>
    <t>حسين خضر حسين الشمراني</t>
  </si>
  <si>
    <t>غير تربوي</t>
  </si>
  <si>
    <t>halshamrani1@tvtc.gov.sa</t>
  </si>
  <si>
    <t>سعد دحيم مغيب الملحي السبيعي</t>
  </si>
  <si>
    <t>السياحة والفندقة (السفر والسياحة)</t>
  </si>
  <si>
    <t>s.alsubaie@tvtc.gov.sa</t>
  </si>
  <si>
    <t>سلطان سليمان حسن علي زوقر</t>
  </si>
  <si>
    <t>إدارة الأعمال - الضيافة</t>
  </si>
  <si>
    <t>بكالوريوس في إدارة الضيافة</t>
  </si>
  <si>
    <t>szawqar@tvtc.gov.sa</t>
  </si>
  <si>
    <t>صلاح عبدالوهاب حسن هوساوي</t>
  </si>
  <si>
    <t>إدارة السياحة والفنادق</t>
  </si>
  <si>
    <t>ادارة فنادق وفعاليات وسياحة</t>
  </si>
  <si>
    <t>إدارة السياحة</t>
  </si>
  <si>
    <t>salah.h@tvtc.gov.sa</t>
  </si>
  <si>
    <t>عبدالرحمن بن سعيد عسيري</t>
  </si>
  <si>
    <t>ماجستير في الادارة</t>
  </si>
  <si>
    <t>aasiri2@tvtc.gov.sa</t>
  </si>
  <si>
    <t>عبدالله محمد ظافر الشهري</t>
  </si>
  <si>
    <t>asheri@tvtc.gov.sa</t>
  </si>
  <si>
    <t>عمران سعيد محمد ال عطاف عسيري</t>
  </si>
  <si>
    <t>oasiri@tvtc.gov.sa</t>
  </si>
  <si>
    <t>فهد حمد عويد القحطاني</t>
  </si>
  <si>
    <t>faalqahtani1@tvtc.gov.sa</t>
  </si>
  <si>
    <t>محمد صلاح سالم درميح</t>
  </si>
  <si>
    <t xml:space="preserve">سياحة وسفر	</t>
  </si>
  <si>
    <t>m.darmih@tvtc.gov.sa</t>
  </si>
  <si>
    <t>محمد عبدالله شيبان الصيعري</t>
  </si>
  <si>
    <t xml:space="preserve">إدارة فندقية	</t>
  </si>
  <si>
    <t>إدارة الضيافة</t>
  </si>
  <si>
    <t>malsaiary@tvtc.gov.sa</t>
  </si>
  <si>
    <t>يحيى حسن علي قارش هزازي</t>
  </si>
  <si>
    <t>سياحة و ضيافة</t>
  </si>
  <si>
    <t>Hospitality and Tourism</t>
  </si>
  <si>
    <t>yhazazi@tvtc.gov.sa</t>
  </si>
  <si>
    <t>يزيد محمد تركي حميد العتيبي</t>
  </si>
  <si>
    <t>ادارة السياحة والفعاليات</t>
  </si>
  <si>
    <t>yazeeda2@tvtc.gov.sa</t>
  </si>
  <si>
    <t>بشير محمد صالح عبدالخالق</t>
  </si>
  <si>
    <t>هندسة المحركات والسيارات الرياضية</t>
  </si>
  <si>
    <t>babdulkhaliq@tvtc.gov.sa</t>
  </si>
  <si>
    <t>بلال يوسف حمزة الأخضر</t>
  </si>
  <si>
    <t>شهادة الدكتوراه في هندسة الميكانيك</t>
  </si>
  <si>
    <t>b.bellakhhdhar@tvtc.gov.sa</t>
  </si>
  <si>
    <t>حاتم يوسف صالح بحه</t>
  </si>
  <si>
    <t>مركبات</t>
  </si>
  <si>
    <t>تقنية المحركات والمركبات</t>
  </si>
  <si>
    <t>hbaha@tvtc.gov.sa</t>
  </si>
  <si>
    <t>حسن عبدالله حسن ال شغيب الشهري</t>
  </si>
  <si>
    <t>هندسة المركبات</t>
  </si>
  <si>
    <t>halshehri1@tvtc.gov.sa</t>
  </si>
  <si>
    <t>حسن محمد علي السليماني</t>
  </si>
  <si>
    <t xml:space="preserve"> هندسة المحركات والسيارات الرياضية</t>
  </si>
  <si>
    <t>halsulimani@tvtc.gov.sa</t>
  </si>
  <si>
    <t>خالد يحي علي الشريف</t>
  </si>
  <si>
    <t xml:space="preserve"> سيارات</t>
  </si>
  <si>
    <t>محركات ومركبات</t>
  </si>
  <si>
    <t>سيارات</t>
  </si>
  <si>
    <t>kalshrif@tvtc.gov.sa</t>
  </si>
  <si>
    <t>سمير عبدالله حميد الصاعدي</t>
  </si>
  <si>
    <t xml:space="preserve"> تحليل وتصميم أنظمة المركبات</t>
  </si>
  <si>
    <t>تحليل وتصميم أنظمة المركبات</t>
  </si>
  <si>
    <t>sasaad@tvtc.gov.sa</t>
  </si>
  <si>
    <t>طارق نافع نفاع السلمي</t>
  </si>
  <si>
    <t>تعليم تقنية المحركات والمركبات</t>
  </si>
  <si>
    <t xml:space="preserve"> تعليم تقنية المحركات والمركبات</t>
  </si>
  <si>
    <t>talsulmy@tvtc.gov.sa</t>
  </si>
  <si>
    <t>عادل حسن يحي الجيزاني</t>
  </si>
  <si>
    <t>التقنيه الميكانيكيه</t>
  </si>
  <si>
    <t>agezani@tvtc.gov.sa</t>
  </si>
  <si>
    <t>عبدالقادر عمودي درويش الزهراني</t>
  </si>
  <si>
    <t>aalzahrani16@tvtc.gov.sa</t>
  </si>
  <si>
    <t>عبدالله حسين محمد القثامي</t>
  </si>
  <si>
    <t>تقنية المحركات و المركبات</t>
  </si>
  <si>
    <t>aalguthami1@tvtc.gov.sa</t>
  </si>
  <si>
    <t>عبدالله ظافر علي الشهري</t>
  </si>
  <si>
    <t xml:space="preserve"> تقنية الهندسة الميكانيكية</t>
  </si>
  <si>
    <t>هندسة ميكانيكيا</t>
  </si>
  <si>
    <t>adalsh@tvtc.gov.sa</t>
  </si>
  <si>
    <t>عبدالله عيد عبدالله العلويط</t>
  </si>
  <si>
    <t>تصميم وتحليل نظم المركبات</t>
  </si>
  <si>
    <t>aalalwet@tvtc.gov.sa</t>
  </si>
  <si>
    <t>عبدالله فيصل محمد طالب الكثيري</t>
  </si>
  <si>
    <t>aalktheery@tvtc.gov.sa</t>
  </si>
  <si>
    <t>عبدالله معيض جابر الحسيني الشهري</t>
  </si>
  <si>
    <t>هندسة سيارات</t>
  </si>
  <si>
    <t>engalshehri@tvtc.gov.sa</t>
  </si>
  <si>
    <t>علي عبدالله سعيدآل جميع الغامدي</t>
  </si>
  <si>
    <t>aalghamdi11@tvtc.gov.sa</t>
  </si>
  <si>
    <t>عماد خلف صالح ال غمسان الغامدي</t>
  </si>
  <si>
    <t>ealghamdi@tvtc.gov.sa</t>
  </si>
  <si>
    <t>فواز مغنم السلمي</t>
  </si>
  <si>
    <t>falsulami@tvtc.gov.sa</t>
  </si>
  <si>
    <t>محمد بن عمر خان بن محمد نورولي</t>
  </si>
  <si>
    <t>mnoorwali@tvtc.gov.sa</t>
  </si>
  <si>
    <t>محمد عبدالله منصور التركي</t>
  </si>
  <si>
    <t>تقنية ميكانيكا المركبات</t>
  </si>
  <si>
    <t>تقنية المحركات والمركبات الالية</t>
  </si>
  <si>
    <t>malturki@tvtc.gov.sa</t>
  </si>
  <si>
    <t>محمد عبيدالله عوض الصالحي</t>
  </si>
  <si>
    <t>malsalhi@tvtc.gov.sa</t>
  </si>
  <si>
    <t>مساعد احمد حسن الزهراني</t>
  </si>
  <si>
    <t>maalza@tvtc.gov.sa</t>
  </si>
  <si>
    <t>مساعد مقبل عطا الله الحربي</t>
  </si>
  <si>
    <t>تقنية المركبات والمحركات</t>
  </si>
  <si>
    <t>mosad_91@tvtc.gov.sa</t>
  </si>
  <si>
    <t>منصور محمد عبدالله القحطاني</t>
  </si>
  <si>
    <t>malkahtani1@tvtc.gov.sa</t>
  </si>
  <si>
    <t>يوسف بن عبدالرحيم السوداني</t>
  </si>
  <si>
    <t>yalsodani@tvtc.gov.sa</t>
  </si>
  <si>
    <t>يوسف صالح يوسف الفريهيدي</t>
  </si>
  <si>
    <t>yalfrihede@tvtc.gov.sa</t>
  </si>
  <si>
    <t>ابراهيم جابر رداد العتيبي</t>
  </si>
  <si>
    <t>قسم الدراسات العامة</t>
  </si>
  <si>
    <t>رياضيات</t>
  </si>
  <si>
    <t>ialotaibi@tvtc.gov.sa</t>
  </si>
  <si>
    <t>احمد سعيد احمد الغامدي</t>
  </si>
  <si>
    <t xml:space="preserve"> هندسة الحاسب الالي</t>
  </si>
  <si>
    <t>هندسة الحاسب الالي</t>
  </si>
  <si>
    <t>aalghamdi4@tvtc.gov.sa</t>
  </si>
  <si>
    <t>احمد علي حسن الزهراني</t>
  </si>
  <si>
    <t>علوم الحاسب الآلي المتقدمة</t>
  </si>
  <si>
    <t>aalzahrani3@tvtc.gov.sa</t>
  </si>
  <si>
    <t>امين محمد عامودي</t>
  </si>
  <si>
    <t>aamoudi@tvtc.gov.sa</t>
  </si>
  <si>
    <t>انور سالم عبدالرحيم باوزير</t>
  </si>
  <si>
    <t>لغة عربية</t>
  </si>
  <si>
    <t>abawazier@tvtc.gov.sa</t>
  </si>
  <si>
    <t>ايمن سامي مصلح المالكي</t>
  </si>
  <si>
    <t>ayalmalki@tvtc.gov.sa</t>
  </si>
  <si>
    <t>ايمن عبدالله جميل حريري</t>
  </si>
  <si>
    <t>هندسة كيميائية</t>
  </si>
  <si>
    <t>بكالوريوس هندسة كيميائية</t>
  </si>
  <si>
    <t>ahariri@tvtc.gov.sa</t>
  </si>
  <si>
    <t xml:space="preserve">أحمد سعيد محمد أبوحسان </t>
  </si>
  <si>
    <t>اجتماع صناعي</t>
  </si>
  <si>
    <t xml:space="preserve">التوجيه المهني والتميز الشخصي </t>
  </si>
  <si>
    <t>aabohassan@tvtc.gov.sa</t>
  </si>
  <si>
    <t>أحمد علي سعيد القاضي الغامدي</t>
  </si>
  <si>
    <t>هندسة نووية</t>
  </si>
  <si>
    <t>aalghamdi50@tvtc.gov.sa</t>
  </si>
  <si>
    <t>باسم يحي محمد جلي</t>
  </si>
  <si>
    <t>bjeli@tvtc.gov.sa</t>
  </si>
  <si>
    <t>بندر احمد سعيد الغامدي</t>
  </si>
  <si>
    <t>علوم بحار فيزيائية</t>
  </si>
  <si>
    <t>فيزياء بحرية</t>
  </si>
  <si>
    <t>bdr14@tvtc.gov.sa</t>
  </si>
  <si>
    <t>بندر محمد جبران القحطاني</t>
  </si>
  <si>
    <t>علوم الحاسبات</t>
  </si>
  <si>
    <t>تقنية المعلومات- امن الشبكات</t>
  </si>
  <si>
    <t>balgahtani@tvtc.gov.sa</t>
  </si>
  <si>
    <t>تركي محمد احمد الغامدي</t>
  </si>
  <si>
    <t>هندسة برمجيات</t>
  </si>
  <si>
    <t>talgamedi@tvtc.gov.sa</t>
  </si>
  <si>
    <t>حسن حمود محمد ال علي الزهراني</t>
  </si>
  <si>
    <t>تقنية حاسب آلي</t>
  </si>
  <si>
    <t>شبكات الحاسب</t>
  </si>
  <si>
    <t>eng_hassan@tvtc.gov.sa</t>
  </si>
  <si>
    <t>حسن سعيد صويلح القرني</t>
  </si>
  <si>
    <t>جغرافيا</t>
  </si>
  <si>
    <t>halqarni@tvtc.gov.sa</t>
  </si>
  <si>
    <t>حسين سعيد موسى الزهراني</t>
  </si>
  <si>
    <t>دراسات اسلامية</t>
  </si>
  <si>
    <t>دراسات إسلامية</t>
  </si>
  <si>
    <t>halzahrane@tvtc.gov.sa</t>
  </si>
  <si>
    <t>حسين محمد جمعان الغامدي</t>
  </si>
  <si>
    <t>لغة هربية</t>
  </si>
  <si>
    <t xml:space="preserve">الإصلاح الأسري </t>
  </si>
  <si>
    <t>halghamdi1@tvtc.gov.sa</t>
  </si>
  <si>
    <t xml:space="preserve">حمد حامد محمد المالكي </t>
  </si>
  <si>
    <t>تقنية معلومات</t>
  </si>
  <si>
    <t xml:space="preserve">تقنية معلومات </t>
  </si>
  <si>
    <t>hhalma@tvtc.gov.sa</t>
  </si>
  <si>
    <t>خالد عبدالله محمد الزهراني</t>
  </si>
  <si>
    <t>kalzahrani4@tvtc.gov.sa</t>
  </si>
  <si>
    <t>خليل برهي الزهراني</t>
  </si>
  <si>
    <t>خدمة اجتماعية</t>
  </si>
  <si>
    <t>khlil.a@tvtc.gov.sa</t>
  </si>
  <si>
    <t>رداد عويمر رده المحمادي</t>
  </si>
  <si>
    <t>الاقتصاد الاسلامي</t>
  </si>
  <si>
    <t>ralmehmadi@tvtc.gov.sa</t>
  </si>
  <si>
    <t>رياض احمد محمد الغامدي</t>
  </si>
  <si>
    <t>علوم الحاسب الالي</t>
  </si>
  <si>
    <t>علوم الحاسب الآلي</t>
  </si>
  <si>
    <t>ghrsgh@tvtc.gov.sa</t>
  </si>
  <si>
    <t>سامي صالح مسفر الغامدي</t>
  </si>
  <si>
    <t>salghamdi2@tvtc.gov.sa</t>
  </si>
  <si>
    <t>سامي عيضه محمد المالكي</t>
  </si>
  <si>
    <t>رياضيات تطبيقية</t>
  </si>
  <si>
    <t>salmalke@tvtc.gov.sa</t>
  </si>
  <si>
    <t>سعد عبدالله سعيد الهجرس</t>
  </si>
  <si>
    <t>فيزياء</t>
  </si>
  <si>
    <t>s.alhjras@tvtc.gov.sa</t>
  </si>
  <si>
    <t>سعد علي ال ساري</t>
  </si>
  <si>
    <t>salsari@tvtc.gov.sa</t>
  </si>
  <si>
    <t>سعود عواض ظاوي الجعيد</t>
  </si>
  <si>
    <t>بكالوريوس فيزياء</t>
  </si>
  <si>
    <t>saljouad@tvtc.gov.sa</t>
  </si>
  <si>
    <t>سعود محمد وخاضر العتيبي</t>
  </si>
  <si>
    <t>salotaibi@tvtc.gov.sa</t>
  </si>
  <si>
    <t>سعيد عبدالله منصور القرني</t>
  </si>
  <si>
    <t>فقه و أصوله</t>
  </si>
  <si>
    <t>الشريعة</t>
  </si>
  <si>
    <t>salgarni1@tvtc.gov.sa</t>
  </si>
  <si>
    <t>سلطان احمد عبدالله الوقداني</t>
  </si>
  <si>
    <t>salwagdani@tvtc.gov.sa</t>
  </si>
  <si>
    <t>سلطان حسن علي القحطاني</t>
  </si>
  <si>
    <t>sultan3h@tvtc.gov.sa</t>
  </si>
  <si>
    <t>A</t>
  </si>
  <si>
    <t>A109</t>
  </si>
  <si>
    <t>صالح احمد صالح الغامدي</t>
  </si>
  <si>
    <t>فيزياء تطبيقية</t>
  </si>
  <si>
    <t>zain_saleh@tvtc.gov.sa</t>
  </si>
  <si>
    <t>طارق باخت سويلم الحربي</t>
  </si>
  <si>
    <t>علوم الحاسب</t>
  </si>
  <si>
    <t>talharbi@tvtc.gov.sa</t>
  </si>
  <si>
    <t>16088</t>
  </si>
  <si>
    <t>طارق سعيد المالكي</t>
  </si>
  <si>
    <t>علوم حاسبات</t>
  </si>
  <si>
    <t>talmalki1@tvtc.gov.sa</t>
  </si>
  <si>
    <t>طارق هادي عيسى المشيخي</t>
  </si>
  <si>
    <t>الرياضيات</t>
  </si>
  <si>
    <t>talmshyki@tvtc.gov.sa</t>
  </si>
  <si>
    <t>ظافر محمد عبدالله الشهري</t>
  </si>
  <si>
    <t>الدراسات اسلامية - العقيدة والدعوة</t>
  </si>
  <si>
    <t>zmalsh@tvtc.gov.sa</t>
  </si>
  <si>
    <t>عبدالخالق سعيد عبدالخالق العمري</t>
  </si>
  <si>
    <t>هندسة زراعية</t>
  </si>
  <si>
    <t>aalamri8@tvtc.gov.sa</t>
  </si>
  <si>
    <t>عبدالرحمن صالح موسى السليماني</t>
  </si>
  <si>
    <t>aausolimani@tvtc.gov.sa</t>
  </si>
  <si>
    <t>عبدالرحمن عائد رشيد القميشي المطيري</t>
  </si>
  <si>
    <t>إتصالات</t>
  </si>
  <si>
    <t>الإتصالات</t>
  </si>
  <si>
    <t>a.almutairi1@tvtc.gov.sa</t>
  </si>
  <si>
    <t>عبدالرحمن فيصل حميد الشيخ</t>
  </si>
  <si>
    <t>الحاسب الالي (دعم نظم شبكات)</t>
  </si>
  <si>
    <t>دعم انظمة شبكات الحاسب</t>
  </si>
  <si>
    <t xml:space="preserve">هندسة الحاسب وتقنية المعلومات في تخصص دعم أنظمة شبكات الحاسب </t>
  </si>
  <si>
    <t>aalshaikh@tvtc.gov.sa</t>
  </si>
  <si>
    <t>عبدالعزيز دخيل الله حمد الجهني</t>
  </si>
  <si>
    <t>تقنية المعلومات</t>
  </si>
  <si>
    <t>تقنية المعلومات IT</t>
  </si>
  <si>
    <t>aaljohani@tvtc.gov.sa</t>
  </si>
  <si>
    <t>عبدالعزيز عبدالله علي ال حسن القرني</t>
  </si>
  <si>
    <t>الإحصاء</t>
  </si>
  <si>
    <t>malqarni@tvtc.gov.sa</t>
  </si>
  <si>
    <t>عبدالله حامد قريد الزهراني</t>
  </si>
  <si>
    <t>علوم حاسب آلي</t>
  </si>
  <si>
    <t>computer science</t>
  </si>
  <si>
    <t>aalzahrani4@tvtc.gov.sa</t>
  </si>
  <si>
    <t>عبدالله صالح عائض العجمي</t>
  </si>
  <si>
    <t>بكالوريوس رياضيات</t>
  </si>
  <si>
    <t>aalajmi@tvtc.gov.sa</t>
  </si>
  <si>
    <t>علي دخيل الله عيد العصيمي</t>
  </si>
  <si>
    <t>aalosaimi1@tvtc.gov.sa</t>
  </si>
  <si>
    <t xml:space="preserve">علي عبدالله عبدالكريم الفقيه </t>
  </si>
  <si>
    <t>التوجيه والإرشاد التربوي</t>
  </si>
  <si>
    <t xml:space="preserve">علم النفس </t>
  </si>
  <si>
    <t>ali.a13@tvtc.gov.sa</t>
  </si>
  <si>
    <t>عيد سعيد عيد الحمدي</t>
  </si>
  <si>
    <t>ealhmadi@tvtc.gov.sa</t>
  </si>
  <si>
    <t>عيد مرعي الغامدي</t>
  </si>
  <si>
    <t>ealghamdi1@tvtc.gov.sa</t>
  </si>
  <si>
    <t>فيصل عبدالعزيز سفر الحارثي</t>
  </si>
  <si>
    <t>f.alharthi@tvtc.gov.sa</t>
  </si>
  <si>
    <t>محمد أحمد عسيري</t>
  </si>
  <si>
    <t>حاسب الالي</t>
  </si>
  <si>
    <t>malbargi@tvtc.gov.sa</t>
  </si>
  <si>
    <t>محمد دخيل عطيه الصبحي الحربي</t>
  </si>
  <si>
    <t>حاسب الي</t>
  </si>
  <si>
    <t>malsobhi@tvtc.gov.sa</t>
  </si>
  <si>
    <t>محمد سعد معيش القرني</t>
  </si>
  <si>
    <t>malgarni1@tvtc.gov.sa</t>
  </si>
  <si>
    <t>محمد ظافر سعيد ال حسين الاحمري</t>
  </si>
  <si>
    <t>الدعوة و الثقافة الإسلامية</t>
  </si>
  <si>
    <t>m.alahmari1@tvtc.gov.sa</t>
  </si>
  <si>
    <t>محمد عبدالرحمن عاطف الشهري</t>
  </si>
  <si>
    <t>m.alshehri@tvtc.gov.sa</t>
  </si>
  <si>
    <t>محمد عبدالله علي الفهمي الزهراني</t>
  </si>
  <si>
    <t>malzhrani4@tvtc.gov.sa</t>
  </si>
  <si>
    <t>محمد مسفر الخثعمي</t>
  </si>
  <si>
    <t>malkatama@tvtc.gov.sa</t>
  </si>
  <si>
    <t>مرزوق عبدالرزاق محمد الحربي</t>
  </si>
  <si>
    <t>malsahafi1@tvtc.gov.sa</t>
  </si>
  <si>
    <t>مرضي معيض سعد الزهراني</t>
  </si>
  <si>
    <t>العقيدة و المذاهب المعاصرة</t>
  </si>
  <si>
    <t>m.alzahrani@tvtc.gov.sa</t>
  </si>
  <si>
    <t>معتز محمد علي البنيان الحربي</t>
  </si>
  <si>
    <t>الحاسب الآلي</t>
  </si>
  <si>
    <t>malharbi17@tvtc.gov.sa</t>
  </si>
  <si>
    <t>معتز محمد يوسف فلمبان</t>
  </si>
  <si>
    <t>mflmban@tvtc.gov.sa</t>
  </si>
  <si>
    <t>نايف عوض حامد الثبيتي</t>
  </si>
  <si>
    <t>علم الحوسبة</t>
  </si>
  <si>
    <t>nalthubaiti@tvtc.gov.sa</t>
  </si>
  <si>
    <t>نواف صالح حميد الانصاري</t>
  </si>
  <si>
    <t>nalansari@tvtc.gov.sa</t>
  </si>
  <si>
    <t>ياسر محمد محمد صميلي</t>
  </si>
  <si>
    <t>لغة عربية وادابها</t>
  </si>
  <si>
    <t>yalsumaily@tvtc.gov.sa</t>
  </si>
  <si>
    <t>ابراهيم حمدان بركه الجهني</t>
  </si>
  <si>
    <t>لغة إنجليزية</t>
  </si>
  <si>
    <t>ialjohani@tvtc.gov.sa</t>
  </si>
  <si>
    <t>براء سمير يحيى معبر</t>
  </si>
  <si>
    <t>تدريس اللغة الإنجليزية كلغة ثانية</t>
  </si>
  <si>
    <t>balmoabbir@tvtc.gov.sa</t>
  </si>
  <si>
    <t>حسن احمد حسن عقدي</t>
  </si>
  <si>
    <t>تعليم اللغة الانجليزية لغير الناطقين بها TESOL</t>
  </si>
  <si>
    <t>TESOL</t>
  </si>
  <si>
    <t>تعليم اللغة الانجليزية لغير الناطقين بها</t>
  </si>
  <si>
    <t>hoqdi@tvtc.gov.sa</t>
  </si>
  <si>
    <t>حمد فياض كساب الرويلي</t>
  </si>
  <si>
    <t>arrowili@tvtc.gov.sa</t>
  </si>
  <si>
    <t>خالد احمد عايض الشهري</t>
  </si>
  <si>
    <t>تدريس اللغة الانجليزية لغير الناطقين بها</t>
  </si>
  <si>
    <t>kalshihri@tvtc.gov.sa</t>
  </si>
  <si>
    <t>خالد مذكر سالم آل سالم البيشي</t>
  </si>
  <si>
    <t>اللغويات التطبيقية</t>
  </si>
  <si>
    <t>applied linguistics</t>
  </si>
  <si>
    <t>kalsalem@tvtc.gov.sa</t>
  </si>
  <si>
    <t>خلوفه ظافر سعيد العميري الشهري</t>
  </si>
  <si>
    <t>ماجستير التربية في تدريس اللغة الانجليزية</t>
  </si>
  <si>
    <t>تدريس اللغة الانجليزية</t>
  </si>
  <si>
    <t>kalshehri@tvtc.gov.sa</t>
  </si>
  <si>
    <t>ريان ياسين شامي الخيري</t>
  </si>
  <si>
    <t>أدب انجليزي</t>
  </si>
  <si>
    <t>لغة انجليزية</t>
  </si>
  <si>
    <t>salkhairi@tvtc.gov.sa</t>
  </si>
  <si>
    <t>زهران محسن عوضه الزهراني</t>
  </si>
  <si>
    <t>zalzahrani@tvtc.gov.sa</t>
  </si>
  <si>
    <t>سالم معيض سعيد القحطاني</t>
  </si>
  <si>
    <t>salqahtani4@tvtc.gov.sa</t>
  </si>
  <si>
    <t>سلطان محيسن سافر الجابري الحربي</t>
  </si>
  <si>
    <t>اللغة الإنجليزية والترجمة</t>
  </si>
  <si>
    <t>TESOL with Translation Studies</t>
  </si>
  <si>
    <t>salharbi21@tvtc.gov.sa</t>
  </si>
  <si>
    <t>سليمان خالد علي كماخي</t>
  </si>
  <si>
    <t>لغات اوروبية أدب انجليزي</t>
  </si>
  <si>
    <t>skamakhi@tvtc.gov.sa</t>
  </si>
  <si>
    <t>عبدالرحمن احمد نادر شاه</t>
  </si>
  <si>
    <t>anadershah@tvtc.gov.sa</t>
  </si>
  <si>
    <t>عبدالعزيز عيضه محمد الحارثي</t>
  </si>
  <si>
    <t>aalharthi2@tvtc.gov.sa</t>
  </si>
  <si>
    <t>عبدالعزيز محمد ابراهيم الحديثي</t>
  </si>
  <si>
    <t>aalhedaithi@tvtc.gov.sa</t>
  </si>
  <si>
    <t>عبدالله محمد عبدالمحسن المطرفي</t>
  </si>
  <si>
    <t>almatrafi@tvtc.gov.sa</t>
  </si>
  <si>
    <t>علي شريم سعيد الزهراني</t>
  </si>
  <si>
    <t>aalzahrani23@tvtc.gov.sa</t>
  </si>
  <si>
    <t>عمر عبدالرحمن حمد الحربي</t>
  </si>
  <si>
    <t>oharbi@tvtc.gov.sa</t>
  </si>
  <si>
    <t>قايد فهم محمد الهميعي السلمي</t>
  </si>
  <si>
    <t>qalsulami@tvtc.gov.sa</t>
  </si>
  <si>
    <t>محمد احمد عبدالله القحطاني</t>
  </si>
  <si>
    <t>تربية - تعليم اللغة الإنجليزية</t>
  </si>
  <si>
    <t>malqatani1@tvtc.gov.sa</t>
  </si>
  <si>
    <t>ياسر عبدالرحمن سعيد الغامدي</t>
  </si>
  <si>
    <t>اللغة الانجليزية</t>
  </si>
  <si>
    <t>yalghamdi@tvtc.gov.sa</t>
  </si>
  <si>
    <t>علاء موسى ناجي الصبحي</t>
  </si>
  <si>
    <t>alaa.a1@tvtc.gov.sa</t>
  </si>
  <si>
    <t>حسن محمد فرح مالكي</t>
  </si>
  <si>
    <t>hassn3000@tvtc.gov.sa</t>
  </si>
  <si>
    <t>عمر عبدالله عمر عقيلي</t>
  </si>
  <si>
    <t>oaakel@tvtc.gov.sa</t>
  </si>
  <si>
    <t>سعيد سعدي محمد الزهراني</t>
  </si>
  <si>
    <t>salzahrani6@tvtc.gov.sa</t>
  </si>
  <si>
    <t>بندر احمد بصنوي</t>
  </si>
  <si>
    <t>bbasnawi@tvtc.gov.sa</t>
  </si>
  <si>
    <t>سعيد عبدالقادر الغامدي</t>
  </si>
  <si>
    <t>salghamdi8@tvtc.gov.sa</t>
  </si>
  <si>
    <t>محمد سعد الزهراني</t>
  </si>
  <si>
    <t>mzahrani2@tvtc.gov.sa</t>
  </si>
  <si>
    <t>الإدارة العامة لجودة التدريب</t>
  </si>
  <si>
    <t>اكتب اسم المنشأة التدريبية</t>
  </si>
  <si>
    <t>ملف المدرب وتوصيف المقرر التدريبي</t>
  </si>
  <si>
    <t>رقم المدرب</t>
  </si>
  <si>
    <t>اسم المدرب</t>
  </si>
  <si>
    <t>باسم عوض الله الحربي</t>
  </si>
  <si>
    <t>القسم التدريبي</t>
  </si>
  <si>
    <t xml:space="preserve">الحاسب </t>
  </si>
  <si>
    <t>البريد الالكتروني</t>
  </si>
  <si>
    <t>basim.a@tvtc.gov.sa</t>
  </si>
  <si>
    <t>آلية التواصل
مع
مدرب المقرر</t>
  </si>
  <si>
    <t>: (</t>
  </si>
  <si>
    <t>)</t>
  </si>
  <si>
    <t>-</t>
  </si>
  <si>
    <t>هاتف مكتب المدرب</t>
  </si>
  <si>
    <t>الساعات المكتبية</t>
  </si>
  <si>
    <t>الأحد</t>
  </si>
  <si>
    <t>الأثنين</t>
  </si>
  <si>
    <t>الثلاثاء</t>
  </si>
  <si>
    <t>الاربعاء</t>
  </si>
  <si>
    <t>الخميس</t>
  </si>
  <si>
    <t>من</t>
  </si>
  <si>
    <t>إلى</t>
  </si>
  <si>
    <t>د</t>
  </si>
  <si>
    <t>:</t>
  </si>
  <si>
    <t>س</t>
  </si>
  <si>
    <t>آلية التواصل
مع
رئيس القسم</t>
  </si>
  <si>
    <t>هاتف مكتب رئيس القسم</t>
  </si>
  <si>
    <r>
      <t xml:space="preserve">تنويه: </t>
    </r>
    <r>
      <rPr>
        <b/>
        <sz val="13"/>
        <color rgb="FFFF0000"/>
        <rFont val="Sakkal Majalla"/>
      </rPr>
      <t>عند حاجة المتدرب للتواصل مع مدرب المقرر أو رئيس القسم يجب أن يتم التواصل من البريد الإلكتروني للمتدرب ( tvtc.edu.sa@رقم المتدرب ).</t>
    </r>
  </si>
  <si>
    <t>الحاسب</t>
  </si>
  <si>
    <t>نمط التدريب</t>
  </si>
  <si>
    <t>تدريب حضوري</t>
  </si>
  <si>
    <t>التخصص</t>
  </si>
  <si>
    <t>برمجيات</t>
  </si>
  <si>
    <t>مستوى المقرر</t>
  </si>
  <si>
    <t>الثاني</t>
  </si>
  <si>
    <t>رمز المقرر</t>
  </si>
  <si>
    <t>131 برمج</t>
  </si>
  <si>
    <t>ساعات الاتصال</t>
  </si>
  <si>
    <t>اسم المقرر</t>
  </si>
  <si>
    <t>مبادئ برمجة صفحات الانترنت</t>
  </si>
  <si>
    <t>الساعات المعتمدة</t>
  </si>
  <si>
    <t>نوع التدريب</t>
  </si>
  <si>
    <t>نظري وعملي</t>
  </si>
  <si>
    <t>المتطلب السابق</t>
  </si>
  <si>
    <t>لا يوجد</t>
  </si>
  <si>
    <t>وصف المقرر</t>
  </si>
  <si>
    <t>يقدم هذا املقرر جمموعة من املهارات األساسية واملوضوعات اليت متكن املتدرب من إنشاء موقع site على 
االنرتنت حيث يتم التدرب على مبادئ عملية تصميم املوقع واستخدام األدوات األساسية الالزمة إلنشاء الصفحات pages
Web مثل لغة الرتميز html باإلضافة ملوضوع النماذج Forms اليت تستخدم ألحداث التفاعل interactivity بني 
الصفحة page Web والزائر للموقع visitor site مع التدريب على املهارات األساسية لتصميم األمناط االنسيابية 
للتحكم يف طريقة عرض املوقع باستخدام تقنية CSS أو )Sheets Style Cascading). ويقدم املقرر املهارات و 
املوضوعات األساسية اليت متكن املستخدم من استخدام احد برامج تصميم صفحات االنرتنت ويعرج على مهارات حترير 
و إنشاء الصور بشكل مبسط. يقدم املقرر املهارات األساسية واملوضوعات اليت متكن املتدرب التعرف على لغة 
JavaScript واستخدام هذه اللغة يف برجمة جانب العميل والتدريب على التعامل مع الدوال Functions واألحداث 
Events واستخدامها يف فرض قيود للتحقق من صحة البيانات املدخلة يف النموذج Techniques Validation F</t>
  </si>
  <si>
    <t>الهدف العام</t>
  </si>
  <si>
    <t>يهدف املقرر إىل تدريب املتدرب على استخدام األدوات األساسية الالزمة لبناء موقع على الشبكة العاملية 
للمعلومات )االنرتنت( والتعامل مع الصور والتدريب على ماهرات تصميم األمناط االنسيابية والربجمة يف جانب العميل 
Side Client والتحقق من املدخالت باستخدام لغة JavaScript .</t>
  </si>
  <si>
    <t>لبدء سطر جديد اضغط على Alt + Enter</t>
  </si>
  <si>
    <t>التجهيزات والخامات التدريبية</t>
  </si>
  <si>
    <t>1- جهاز حاسب آلي حديث  (24)
2 - اتصال بالانترنت  ( 1)
3 - برنامج دريم ويفر، برنامج مايكروسوف فيزو   (1)
 4  - جميع البرامج المستخدمة في المناهج التخصصية التي يجب ان تثبت متاحة على الانترنت ومتفوحة الترخيص عدا برنامج دريم ويفر  , برنامج مايكروسوفت فيزو (1)</t>
  </si>
  <si>
    <t>تعليمات واشتراطات السلامة عند التدريب</t>
  </si>
  <si>
    <t>1 - المحافظة على سرية المعلومات
2 - الالتزام بحقوق الملكية الفكرية (حقوق النسخ)
3 - المحافظة على سلامة الأجهزة.
4 - إتباع إجراءات السلامة عند استخدام الأدوات.
5 - إتباع تعليمات سلامة المكان.</t>
  </si>
  <si>
    <t>الوحدات ( النظرية والعملية )</t>
  </si>
  <si>
    <r>
      <t xml:space="preserve">الأهداف التفصيلية ( المنهج التفصيلي )
</t>
    </r>
    <r>
      <rPr>
        <b/>
        <sz val="11"/>
        <color rgb="FFFF0000"/>
        <rFont val="Sakkal Majalla"/>
      </rPr>
      <t>أن يكون المتدرب قادراً وبكفاءة على أن:</t>
    </r>
  </si>
  <si>
    <t>الأسبوع</t>
  </si>
  <si>
    <t>ساعات</t>
  </si>
  <si>
    <t>إستراتيجية</t>
  </si>
  <si>
    <t>آلية</t>
  </si>
  <si>
    <t>درجة</t>
  </si>
  <si>
    <t>أن يكون المتدرب قادراً وبكفاءة على أن:</t>
  </si>
  <si>
    <t>التدريبي</t>
  </si>
  <si>
    <t>التدريب</t>
  </si>
  <si>
    <t>التدريب المستخدمة</t>
  </si>
  <si>
    <t>التقييم</t>
  </si>
  <si>
    <t>1-</t>
  </si>
  <si>
    <t xml:space="preserve">مقدمة عن الشبكة العاملية للمعلومات </t>
  </si>
  <si>
    <t>• نشأة اإلنرتنت وتطورها
• خدمات اإلنرتنت services internet
• منوذج )خادم/عميل( model server/c</t>
  </si>
  <si>
    <t>الأول</t>
  </si>
  <si>
    <t>التطبيق العملي</t>
  </si>
  <si>
    <t xml:space="preserve">تقييم نظري </t>
  </si>
  <si>
    <t>2-</t>
  </si>
  <si>
    <t>مبادئ تصميم مواقع الانترنت</t>
  </si>
  <si>
    <t>• أنواع مواقع الشبكة العنكبوتية العاملية WWW
• حتديد أهداف املوقع goals site
• حتديد مكونات املوقع components site
• خطة بناء املوقعplan construction s</t>
  </si>
  <si>
    <t>اختبار قصير</t>
  </si>
  <si>
    <t>3-</t>
  </si>
  <si>
    <t>إنشاء الصفحات باستخدام لغة الترميز</t>
  </si>
  <si>
    <t>• تنسيق النصوص Formatting Text
• استخدام الصور Images
• وسائل تنظيم الصفحة Layout Page
• الروابط التشعبية links Hyper
• القوائم Lists
• اجلداول Tables
• اإلطارات Frames
• فواصل الصفحات h</t>
  </si>
  <si>
    <t>الثالث</t>
  </si>
  <si>
    <t>تقييم عملي</t>
  </si>
  <si>
    <t>4-</t>
  </si>
  <si>
    <t xml:space="preserve">النماذج </t>
  </si>
  <si>
    <t>• فهم النماذج Forms وإنشائها
• كيفية إضافة املكونات األساسية Components Basic
• طرق تقديم النموذج Submitting Form
• كيفية إعادة ضبط النموذج Resetting F</t>
  </si>
  <si>
    <t>الرابع</t>
  </si>
  <si>
    <t>واجب</t>
  </si>
  <si>
    <t>5-</t>
  </si>
  <si>
    <t xml:space="preserve"> البرنامج المساعدة للتصميم</t>
  </si>
  <si>
    <t>التعرف على احد الربامج التالية لتصميم صفحات الويب
Adobe Dreamweaver o
ogle web designer o
GoMicrosoft Expression o</t>
  </si>
  <si>
    <t>الخامس</t>
  </si>
  <si>
    <t>6-</t>
  </si>
  <si>
    <t>تحرير  وانشاء الصور</t>
  </si>
  <si>
    <t>• استخدام برامج التصميم البسيطة لتعديل الصور
• تغيري حجم الصورة
• تغيري إبعاد الصورة
• تصغري الصور وتكبريها
• حفظ الصور بتنسيقات خمتلفة Gif,PNG,J</t>
  </si>
  <si>
    <t>السادس</t>
  </si>
  <si>
    <t>اختبار ( 1 )</t>
  </si>
  <si>
    <t>7-</t>
  </si>
  <si>
    <t>تقنيات CSS</t>
  </si>
  <si>
    <t>• مفهوم تقنية CSS واستخداماتها
• املظهر العام لصفحة الويبPage Web
• تنسيق األلوان واحلدود واخلط و اإلطارات وترتيب العناصر داخل 
Web Page ا</t>
  </si>
  <si>
    <t>السابع</t>
  </si>
  <si>
    <t>اختبار ( 2 )</t>
  </si>
  <si>
    <t>8-</t>
  </si>
  <si>
    <t>مبادئ لغة برمجة javaScript</t>
  </si>
  <si>
    <t>• مفهوم برجمة جانب العميل programming side client
• تعريف أنواع املتغريات Types Data Variables.
• كتابةالتعبريات Expressions.
• مجل التفريع Statements Decision.
• مجل التكرار Statements Looping.
• شرح الكائنات objectsاخلاصة باملستند do</t>
  </si>
  <si>
    <t>الثامن</t>
  </si>
  <si>
    <t>9-</t>
  </si>
  <si>
    <t>فهم الاحداث</t>
  </si>
  <si>
    <t>• مفهوم احلدث واستخدامه
• التعرف على أهم األحداث
OnMouseOver, OnMouseOut, Onclick, •
OnSubmit, OnLoad, OnFocus, OnBlur, 
OnChange
• مفهوم الدالة Function واستخدامها
• تعريف الدالة وكتابة الكود اخلاص بها واستدعائها 
• استخدام واستدعاء الدوال من خالل األحداث</t>
  </si>
  <si>
    <t>التاسع</t>
  </si>
  <si>
    <t>اختبار نهائي</t>
  </si>
  <si>
    <t>10-</t>
  </si>
  <si>
    <t>التحقق من صحة مدخلات النماذج</t>
  </si>
  <si>
    <t>• القُيود على احلقول النصية 
• التحقق من القيم النصية أو الرقمية 
• استخدام نهج التحقق من التاريخ 
• تدقيق كلمات املرور 
• شروط إدخال الربيد االلكرتوني
Regex •</t>
  </si>
  <si>
    <t>العاشر</t>
  </si>
  <si>
    <t>المشروع</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</si>
  <si>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</si>
  <si>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</si>
  <si>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</si>
  <si>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</si>
  <si>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</si>
  <si>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</si>
  <si>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</si>
  <si>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</si>
  <si>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</si>
  <si>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</si>
  <si>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</si>
  <si>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</si>
  <si>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</si>
  <si>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</si>
  <si>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</si>
  <si>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</si>
  <si>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</si>
  <si>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</si>
  <si>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</si>
  <si>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</si>
  <si>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</si>
  <si>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</si>
  <si>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</si>
  <si>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</si>
  <si>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</si>
  <si>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</si>
  <si>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</si>
  <si>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</si>
  <si>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</si>
  <si>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</si>
  <si>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مجموع الدرجات</t>
  </si>
  <si>
    <r>
      <rPr>
        <b/>
        <sz val="13"/>
        <rFont val="Sakkal Majalla"/>
      </rPr>
      <t>تنويه</t>
    </r>
    <r>
      <rPr>
        <b/>
        <sz val="13"/>
        <color rgb="FFFF0000"/>
        <rFont val="Sakkal Majalla"/>
      </rPr>
      <t>: يمكن التعرف على طرق ووسائل التدريب من خلال الرابط</t>
    </r>
    <r>
      <rPr>
        <b/>
        <sz val="13"/>
        <color rgb="FF616365"/>
        <rFont val="Sakkal Majalla"/>
      </rPr>
      <t xml:space="preserve"> ( </t>
    </r>
    <r>
      <rPr>
        <b/>
        <sz val="13"/>
        <color rgb="FF0000FF"/>
        <rFont val="Sakkal Majalla"/>
      </rPr>
      <t>اضغط هنا</t>
    </r>
    <r>
      <rPr>
        <b/>
        <sz val="13"/>
        <color rgb="FF616365"/>
        <rFont val="Sakkal Majalla"/>
      </rPr>
      <t xml:space="preserve"> ).</t>
    </r>
  </si>
  <si>
    <t>آلية تقييم المقرر التدريبي وتوزيع الدرجات
وفق نظام رايات</t>
  </si>
  <si>
    <t>درجة الأعمال الفصلية من ( 60 ) درجة</t>
  </si>
  <si>
    <t>درجة الاختبار النهائي من ( 40 ) درجة</t>
  </si>
  <si>
    <t>مجموع الدرجات من ( 100 ) درجة</t>
  </si>
  <si>
    <t xml:space="preserve">المرجع الرئيسي للمقرر </t>
  </si>
  <si>
    <t>المواقع الإلكترونية</t>
  </si>
  <si>
    <t>منصات الكترونية</t>
  </si>
  <si>
    <t>منصة سطر التعليمية</t>
  </si>
  <si>
    <t>http://elearning.edu.sa/OLib/</t>
  </si>
  <si>
    <t>https://doroob.sa/ar/</t>
  </si>
  <si>
    <t>https://maztegani.tvtc.gov.sa/offers</t>
  </si>
  <si>
    <t>مجالات التقييم</t>
  </si>
  <si>
    <t>المقيمون</t>
  </si>
  <si>
    <t>طريقة التقييم</t>
  </si>
  <si>
    <t>الحقيبة التدريبية</t>
  </si>
  <si>
    <t>مدرب المقرر</t>
  </si>
  <si>
    <t>نموذج نقد الحقيبة التدريبية</t>
  </si>
  <si>
    <t>الخطة التدريبية</t>
  </si>
  <si>
    <t>نموذج التغذية الراجعة للخطط التدريبية</t>
  </si>
  <si>
    <t>المحتوى التدريبي</t>
  </si>
  <si>
    <t>المتدربـين/ـات</t>
  </si>
  <si>
    <t>نموذج قياس رضا المتدرب</t>
  </si>
  <si>
    <t>نظام رايات</t>
  </si>
  <si>
    <t>الخطط التدريبية</t>
  </si>
  <si>
    <t>بريد المتدرب</t>
  </si>
  <si>
    <t>دليل المتدرب</t>
  </si>
  <si>
    <t>المحتوي التدريبي</t>
  </si>
  <si>
    <t>اسم مدرب المقرر:</t>
  </si>
  <si>
    <t>البريد الالكتروني:</t>
  </si>
  <si>
    <t>التاريخ:</t>
  </si>
  <si>
    <t>اسم رئيس القسم:</t>
  </si>
  <si>
    <t>1.  اكتب الرقم الوظيفي لمدرب المقرر التدريبي.</t>
  </si>
  <si>
    <t>4.  اكتب رقم المبنى.</t>
  </si>
  <si>
    <t>2.  اكتب اسم مدرب المقرر التدريبي.</t>
  </si>
  <si>
    <t>5.  اكتب رقم مكتب المدرب.</t>
  </si>
  <si>
    <t>3.  اكتب اسم القسم التدريبي للمدرب.</t>
  </si>
  <si>
    <t>اسم المستخدم@tvtc.gov.sa</t>
  </si>
  <si>
    <t>من موقع الإدارة العامة لتصميم وتطوير المناهج اتبع الخطوات التالية:</t>
  </si>
  <si>
    <r>
      <t xml:space="preserve">1. افتح الخطط التدريبية </t>
    </r>
    <r>
      <rPr>
        <sz val="9.5"/>
        <color rgb="FF0000FF"/>
        <rFont val="Wingdings"/>
        <charset val="2"/>
      </rPr>
      <t>×</t>
    </r>
    <r>
      <rPr>
        <b/>
        <sz val="9.5"/>
        <color rgb="FFFF0000"/>
        <rFont val="Sakkal Majalla"/>
      </rPr>
      <t xml:space="preserve"> اختر ( كليات/معاهد ) </t>
    </r>
    <r>
      <rPr>
        <sz val="9.5"/>
        <color rgb="FF0000FF"/>
        <rFont val="Wingdings"/>
        <charset val="2"/>
      </rPr>
      <t>×</t>
    </r>
    <r>
      <rPr>
        <b/>
        <sz val="9.5"/>
        <color rgb="FFFF0000"/>
        <rFont val="Sakkal Majalla"/>
      </rPr>
      <t xml:space="preserve"> اختر المرحلة ( بكالوريوس/دبلوم ) </t>
    </r>
    <r>
      <rPr>
        <sz val="9.5"/>
        <color rgb="FFFF0000"/>
        <rFont val="Sakkal Majalla"/>
      </rPr>
      <t xml:space="preserve"> </t>
    </r>
    <r>
      <rPr>
        <sz val="9.5"/>
        <color rgb="FF0000FF"/>
        <rFont val="Wingdings"/>
        <charset val="2"/>
      </rPr>
      <t>×</t>
    </r>
    <r>
      <rPr>
        <b/>
        <sz val="9.5"/>
        <color rgb="FFFF0000"/>
        <rFont val="Sakkal Majalla"/>
      </rPr>
      <t xml:space="preserve"> افتح خطط ( الكليات/المعاهد ) الثلثية 1444 </t>
    </r>
    <r>
      <rPr>
        <sz val="9.5"/>
        <color rgb="FF0000FF"/>
        <rFont val="Wingdings"/>
        <charset val="2"/>
      </rPr>
      <t>×</t>
    </r>
    <r>
      <rPr>
        <b/>
        <sz val="9.5"/>
        <color rgb="FFFF0000"/>
        <rFont val="Sakkal Majalla"/>
      </rPr>
      <t xml:space="preserve"> اختر القسم التدريبي والتخصص </t>
    </r>
    <r>
      <rPr>
        <sz val="9.5"/>
        <color rgb="FF0000FF"/>
        <rFont val="Wingdings"/>
        <charset val="2"/>
      </rPr>
      <t>×</t>
    </r>
    <r>
      <rPr>
        <b/>
        <sz val="9.5"/>
        <color rgb="FFFF0000"/>
        <rFont val="Sakkal Majalla"/>
      </rPr>
      <t xml:space="preserve"> قم بتحميل الخطة التدريبية للتخصص.</t>
    </r>
  </si>
  <si>
    <r>
      <t xml:space="preserve">2. من الخطة التدريبية للتحصص  </t>
    </r>
    <r>
      <rPr>
        <sz val="9.5"/>
        <color rgb="FF0000FF"/>
        <rFont val="Wingdings"/>
        <charset val="2"/>
      </rPr>
      <t>×</t>
    </r>
    <r>
      <rPr>
        <b/>
        <sz val="9.5"/>
        <color rgb="FFFF0000"/>
        <rFont val="Sakkal Majalla"/>
      </rPr>
      <t xml:space="preserve"> الوصف التفصيلي لمقررات التخصص  </t>
    </r>
    <r>
      <rPr>
        <sz val="9.5"/>
        <color rgb="FF0000FF"/>
        <rFont val="Wingdings"/>
        <charset val="2"/>
      </rPr>
      <t>×</t>
    </r>
    <r>
      <rPr>
        <b/>
        <sz val="9.5"/>
        <color rgb="FFFF0000"/>
        <rFont val="Sakkal Majalla"/>
      </rPr>
      <t xml:space="preserve"> ابحث عن المقرر التدريبي </t>
    </r>
    <r>
      <rPr>
        <sz val="9.5"/>
        <color rgb="FF0000FF"/>
        <rFont val="Wingdings"/>
        <charset val="2"/>
      </rPr>
      <t>×</t>
    </r>
    <r>
      <rPr>
        <b/>
        <sz val="9.5"/>
        <color rgb="FFFF0000"/>
        <rFont val="Sakkal Majalla"/>
      </rPr>
      <t xml:space="preserve"> ادخل البيانات المطلوبة الموضحة أدناه:</t>
    </r>
  </si>
  <si>
    <t>الدراسات العامة</t>
  </si>
  <si>
    <t>المقررات العامة لدبلوم الكليات</t>
  </si>
  <si>
    <t>101 حاسب</t>
  </si>
  <si>
    <t>مقدمة تطبيقات الحاسب</t>
  </si>
  <si>
    <t>عملي</t>
  </si>
  <si>
    <t xml:space="preserve">من خلال هذا المقرر يتم التدريب على التطبيقات الأساسية لبرنامج المكتب من مايكروسوفت، حيث يتم التعرف على برنامج معالجة النصوص (وورد)، ثم التدريب على برنامج الجداول الإلكترونية (أكسل)، وتطبيق مهارات إعداد العروض التقديمية من خلال برنامج (بوربوينت)، وكيفية التعامل مع البريد الالكتروني من خلال برنامج (اوتلوك)، وتقدم هذه الحقيبة المهارات الأساسية اللازمة للمتدرب للتعامل مع تطبيقات الحوسبة السحابية وخدماتها. </t>
  </si>
  <si>
    <t>يهدف هذا المقرر إلى إكساب المتدرب في كليات التقنية والبرامج المماثلة لها، المهارات الأساسية للتعامل مع أشهر برامج التطبيقات المكتبية من شركة مايكروسوفت MS_Office وتطبيقات الحوسبة السحابية.</t>
  </si>
  <si>
    <t>1. بروجيكتر ، الكمية:( 1 ).
2. طاولة كمبيوتر ، الكمية:( 20 ).
3. طاولة مدرب ، الكمية:( 1 ).
4. كرسي متدرب ، الكمية:( 20 ).
5. كرسي مدرب ، الكمية:( 1 ).
6. جهاز حاسب آلي للمتدرب بنظام تشغيل Windows 10 وبرامج التطبيقات المكتبية 2016 بمواصفات عالية. ، الكمية:( 20 ).
7. جهاز حاسب آلي للمدرب بنظام تشغيل Windows 10 وبرامج التطبيقات المكتبية 2016 بمواصفات عالية. ، الكمية:( 1 ).</t>
  </si>
  <si>
    <t>اشتراطات وإجراءات السلامة للتدرب على المقرر ويشمل ذلك الممارس ( المتدرب والمدرب ) والجهاز والأدوات والبيئية:
1. التقيد بتعليمات سلامة المكان.
2. التقيد بتعليمات السلامة الواردة في كتيبات المواصفات المرفقة بأجهزة الحاسب.
3. اتباع قواعد وتعليمات الجلسة الصحية.
4. التأكد من تناسب فولتية كهرباء أجهزة العرض مع الكهرباء وذلك عند وصلها.
5. حفظ أجهزة العرض في أماكنها المخصصة عند الإنتهاء من استخدامها.
6. المحافظة على سلامة الأقراص بحفظها في أماكنها الخاصة.
7. الاحتفاظ بنسخ احتياطية من الملفات.</t>
  </si>
  <si>
    <t>استخدام 2013 Microsoft Word</t>
  </si>
  <si>
    <t xml:space="preserve"> 1- منح أوامر من الشريط ومن شريط أدوات الوصول
السريع
2. إدراة Word من عرض Backstage
3. تخصيص خيارات الربنامج</t>
  </si>
  <si>
    <t>إنشاء مستندات وعرضها</t>
  </si>
  <si>
    <t>1- إنشاء مستندات جديدة فارغة
2- إنشاء مستندات جديدة باستخدام قوالب
3- فتح ملفات غري أصلية Word
4- فتح ملفات PDF يف Word لتحريرها
5- التنقل يف مستند
6- تغيري طرق عرض املستند
7- تغيري مستويات التكبري
8- تقسيم النافذة
9- إظهار رموز التنسيق أو إخفاؤها</t>
  </si>
  <si>
    <r>
      <t xml:space="preserve">تعليمات هامة:
</t>
    </r>
    <r>
      <rPr>
        <sz val="11"/>
        <color rgb="FFFF0000"/>
        <rFont val="Webdings"/>
        <family val="1"/>
        <charset val="2"/>
      </rPr>
      <t>3</t>
    </r>
    <r>
      <rPr>
        <sz val="11"/>
        <color rgb="FF0000FF"/>
        <rFont val="Sakkal Majalla"/>
      </rPr>
      <t xml:space="preserve">لبدء سطر جديد اضغط على Alt + Enter
</t>
    </r>
    <r>
      <rPr>
        <sz val="11"/>
        <color rgb="FFFF0000"/>
        <rFont val="Webdings"/>
        <family val="1"/>
        <charset val="2"/>
      </rPr>
      <t>3</t>
    </r>
    <r>
      <rPr>
        <sz val="11"/>
        <color rgb="FF0000FF"/>
        <rFont val="Sakkal Majalla"/>
      </rPr>
      <t xml:space="preserve">يمكنك تغيير ارتفاع الصف: حدد الخلية ثم من علامة التبويب "الصفحة
       الرئيسية" </t>
    </r>
    <r>
      <rPr>
        <sz val="11"/>
        <color rgb="FF0000FF"/>
        <rFont val="Wingdings"/>
        <charset val="2"/>
      </rPr>
      <t>×</t>
    </r>
    <r>
      <rPr>
        <sz val="11"/>
        <color rgb="FF0000FF"/>
        <rFont val="Sakkal Majalla"/>
      </rPr>
      <t xml:space="preserve"> تنسيق </t>
    </r>
    <r>
      <rPr>
        <sz val="11"/>
        <color rgb="FF0000FF"/>
        <rFont val="Wingdings"/>
        <charset val="2"/>
      </rPr>
      <t>×</t>
    </r>
    <r>
      <rPr>
        <sz val="11"/>
        <color rgb="FF0000FF"/>
        <rFont val="Sakkal Majalla"/>
      </rPr>
      <t xml:space="preserve"> احتواء تلقائي بارتفاع الصف.</t>
    </r>
  </si>
  <si>
    <r>
      <t>الحقيبة التدريبية: مقدمة تطبيقات الحاسب
(</t>
    </r>
    <r>
      <rPr>
        <b/>
        <sz val="11"/>
        <color rgb="FFFF0000"/>
        <rFont val="Sakkal Majalla"/>
      </rPr>
      <t xml:space="preserve"> اضغط هنا</t>
    </r>
    <r>
      <rPr>
        <b/>
        <sz val="11"/>
        <color rgb="FF0070C0"/>
        <rFont val="Sakkal Majalla"/>
      </rPr>
      <t xml:space="preserve"> )</t>
    </r>
  </si>
  <si>
    <r>
      <t xml:space="preserve">الحقيبة الإلكترونية: مقدمة تطبيقات الحاسب
( </t>
    </r>
    <r>
      <rPr>
        <b/>
        <sz val="11"/>
        <color rgb="FFFF0000"/>
        <rFont val="Sakkal Majalla"/>
      </rPr>
      <t>اضغط هنا</t>
    </r>
    <r>
      <rPr>
        <b/>
        <sz val="11"/>
        <color rgb="FF0070C0"/>
        <rFont val="Sakkal Majalla"/>
      </rPr>
      <t xml:space="preserve"> )</t>
    </r>
  </si>
  <si>
    <t>تقوم وكالة ضبط الجودة بالمنشأة التدريبية بإنشاء روابط الكترونية لقياس  المجالات المحددة</t>
  </si>
  <si>
    <t>1.  أدرج رابط الإستبانة الالكتروني أمام المجال المطلوب قياسه في خلية ( CC220 ).</t>
  </si>
  <si>
    <t>1.  أدرج رابط للمحتوى التدريبي للمقرر في خلية ( CS234 ).</t>
  </si>
  <si>
    <t>الأيام</t>
  </si>
  <si>
    <t>الاستراتيجيات التدريبية</t>
  </si>
  <si>
    <t>أدوات التقييم</t>
  </si>
  <si>
    <t>تدريب المقرر</t>
  </si>
  <si>
    <t>نوع المقرر</t>
  </si>
  <si>
    <t>التدريب بالاكتشاف</t>
  </si>
  <si>
    <t>نظري</t>
  </si>
  <si>
    <t>إجباري</t>
  </si>
  <si>
    <t>التفكير الناقد</t>
  </si>
  <si>
    <t>اختياري</t>
  </si>
  <si>
    <t>تدريب عن بُعد</t>
  </si>
  <si>
    <t>الخرائط المفاهيمية</t>
  </si>
  <si>
    <t>مشروع</t>
  </si>
  <si>
    <t>تدريب ذاتي</t>
  </si>
  <si>
    <t>طريقة K.W.L</t>
  </si>
  <si>
    <t>الأربعاء</t>
  </si>
  <si>
    <t>العصف الذهني</t>
  </si>
  <si>
    <t>تدريب مدمج</t>
  </si>
  <si>
    <t>العمل الجماعي</t>
  </si>
  <si>
    <t>التدريب البنائي</t>
  </si>
  <si>
    <t>المشروعات</t>
  </si>
  <si>
    <t>نظرية ( TRYZ )</t>
  </si>
  <si>
    <t>المناقشة</t>
  </si>
  <si>
    <t>حل المشكلات</t>
  </si>
  <si>
    <t>التدريب المعكوس</t>
  </si>
  <si>
    <t>فَكِّرْ، ناقِشْ، شَارِكْ</t>
  </si>
  <si>
    <t>اختبار ( 3 )</t>
  </si>
  <si>
    <t>التدريب بالمحاكاة</t>
  </si>
  <si>
    <t>اختبار نصفي</t>
  </si>
  <si>
    <t>دراسة الحالة</t>
  </si>
  <si>
    <t>الحادي عشر</t>
  </si>
  <si>
    <t>التدريب المتمايز</t>
  </si>
  <si>
    <t>الثاني عشر</t>
  </si>
  <si>
    <t>الثالث عشر</t>
  </si>
  <si>
    <t>البحث في النصوص باستخدام Regular Expression</t>
  </si>
  <si>
    <t>الإسناد باستخدام Destruturing</t>
  </si>
  <si>
    <t>تنظيم مسار البرنامج باستخدام Promises</t>
  </si>
  <si>
    <t xml:space="preserve">• نظرة على مفهوم Regular
• استخدام Global Flag
</t>
  </si>
  <si>
    <t xml:space="preserve">• مقدمة في Destructuring
• اضافة قيم افتراضية
</t>
  </si>
  <si>
    <t xml:space="preserve">• المفاهيم Syn , Asyn
• التعامل مع Resolve
</t>
  </si>
  <si>
    <t>جافا سكربيت 102</t>
  </si>
  <si>
    <t xml:space="preserve">• طرق التعامل مع الارقام
• أهم الدوال المستخدمة للتعامل مع المصفوفات
• مفهوم البرمجة الكائنية في JavaScript
</t>
  </si>
  <si>
    <t xml:space="preserve">الأرقام والتواريخ </t>
  </si>
  <si>
    <t>مفهوم Callback</t>
  </si>
  <si>
    <t xml:space="preserve">دوال المصفوفات </t>
  </si>
  <si>
    <t xml:space="preserve">البرمجة الكائنية </t>
  </si>
  <si>
    <t xml:space="preserve">• القُيود على احلقول النصية </t>
  </si>
  <si>
    <t>• مفهوم Callback</t>
  </si>
  <si>
    <t xml:space="preserve">• كيفية تمثيل التاريخ والرقم </t>
  </si>
  <si>
    <t>مفهوم البرمجة الكائنية بالاضافة الى التطبيق</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</si>
</sst>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0000000000%"/>
    <numFmt numFmtId="165" formatCode="[$-1170401]B2dddd\,\ dd\ mmmm\,\ yyyy;@"/>
    <numFmt numFmtId="166" formatCode="[$-1010000]yyyy/mm/dd;@"/>
  </numFmts>
  <fonts count="75">
    <font>
      <sz val="11"/>
      <color theme="1"/>
      <name val="Calibri"/>
      <family val="2"/>
      <charset val="178"/>
      <scheme val="minor"/>
    </font>
    <font>
      <sz val="11"/>
      <color theme="1"/>
      <name val="Sakkal Majalla"/>
    </font>
    <font>
      <sz val="11"/>
      <color theme="1"/>
      <name val="Calibri"/>
      <family val="2"/>
      <charset val="178"/>
      <scheme val="minor"/>
    </font>
    <font>
      <sz val="11"/>
      <color theme="1"/>
      <name val="Calibri"/>
      <family val="2"/>
      <scheme val="minor"/>
    </font>
    <font>
      <sz val="16"/>
      <color theme="1"/>
      <name val="Calibri"/>
      <family val="2"/>
      <scheme val="minor"/>
    </font>
    <font>
      <sz val="16"/>
      <color rgb="FF0000FF"/>
      <name val="Sakkal Majalla"/>
    </font>
    <font>
      <sz val="12"/>
      <color theme="1"/>
      <name val="Sakkal Majalla"/>
    </font>
    <font>
      <b/>
      <sz val="25"/>
      <color rgb="FF0000FF"/>
      <name val="Sakkal Majalla"/>
    </font>
    <font>
      <b/>
      <sz val="25"/>
      <color rgb="FF616365"/>
      <name val="Sakkal Majalla"/>
    </font>
    <font>
      <b/>
      <sz val="27"/>
      <color rgb="FF0000FF"/>
      <name val="Sakkal Majalla"/>
    </font>
    <font>
      <u/>
      <sz val="11"/>
      <color theme="10"/>
      <name val="Calibri"/>
      <family val="2"/>
      <scheme val="minor"/>
    </font>
    <font>
      <sz val="15"/>
      <color rgb="FFD9D9D9"/>
      <name val="Sakkal Majalla"/>
    </font>
    <font>
      <b/>
      <sz val="10"/>
      <color theme="0"/>
      <name val="Sakkal Majalla"/>
    </font>
    <font>
      <u/>
      <sz val="15"/>
      <color theme="10"/>
      <name val="Sakkal Majalla"/>
    </font>
    <font>
      <sz val="10"/>
      <color theme="0"/>
      <name val="Sakkal Majalla"/>
    </font>
    <font>
      <b/>
      <sz val="10"/>
      <color theme="0" tint="-4.9989318521683403E-2"/>
      <name val="Sakkal Majalla"/>
    </font>
    <font>
      <u/>
      <sz val="10"/>
      <color theme="0"/>
      <name val="Sakkal Majalla"/>
    </font>
    <font>
      <sz val="10"/>
      <color theme="0"/>
      <name val="Calibri"/>
      <family val="2"/>
      <charset val="178"/>
      <scheme val="minor"/>
    </font>
    <font>
      <b/>
      <sz val="40"/>
      <color rgb="FF616365"/>
      <name val="Sakkal Majalla"/>
    </font>
    <font>
      <sz val="10"/>
      <color rgb="FF000000"/>
      <name val="Arial"/>
      <family val="2"/>
    </font>
    <font>
      <b/>
      <sz val="16"/>
      <color rgb="FF616365"/>
      <name val="Sakkal Majalla"/>
    </font>
    <font>
      <b/>
      <sz val="13"/>
      <color rgb="FF616365"/>
      <name val="Sakkal Majalla"/>
    </font>
    <font>
      <b/>
      <sz val="10"/>
      <color rgb="FF616365"/>
      <name val="Sakkal Majalla"/>
    </font>
    <font>
      <b/>
      <sz val="8"/>
      <color rgb="FF616365"/>
      <name val="Sakkal Majalla"/>
    </font>
    <font>
      <b/>
      <sz val="12"/>
      <color rgb="FF616365"/>
      <name val="Sakkal Majalla"/>
    </font>
    <font>
      <sz val="10"/>
      <color rgb="FF616365"/>
      <name val="Sakkal Majalla"/>
    </font>
    <font>
      <sz val="12"/>
      <color rgb="FF616365"/>
      <name val="Sakkal Majalla"/>
    </font>
    <font>
      <b/>
      <sz val="50"/>
      <color theme="2" tint="-0.499984740745262"/>
      <name val="Cairo"/>
    </font>
    <font>
      <b/>
      <sz val="40"/>
      <color theme="2" tint="-0.499984740745262"/>
      <name val="Cairo"/>
    </font>
    <font>
      <u/>
      <sz val="11"/>
      <color theme="10"/>
      <name val="Calibri"/>
      <family val="2"/>
      <charset val="178"/>
      <scheme val="minor"/>
    </font>
    <font>
      <b/>
      <sz val="35"/>
      <color theme="2" tint="-0.499984740745262"/>
      <name val="Cairo"/>
    </font>
    <font>
      <b/>
      <sz val="15"/>
      <color rgb="FF616365"/>
      <name val="Cairo"/>
    </font>
    <font>
      <sz val="15"/>
      <color theme="0"/>
      <name val="Sakkal Majalla"/>
    </font>
    <font>
      <b/>
      <sz val="15"/>
      <color rgb="FF616365"/>
      <name val="Sakkal Majalla"/>
    </font>
    <font>
      <b/>
      <sz val="14"/>
      <color rgb="FF616365"/>
      <name val="Sakkal Majalla"/>
    </font>
    <font>
      <b/>
      <sz val="22"/>
      <color rgb="FF616365"/>
      <name val="Sakkal Majalla"/>
    </font>
    <font>
      <b/>
      <sz val="11"/>
      <color theme="1"/>
      <name val="Calibri"/>
      <family val="2"/>
      <charset val="178"/>
      <scheme val="minor"/>
    </font>
    <font>
      <b/>
      <sz val="14"/>
      <color theme="1"/>
      <name val="Sakkal Majalla"/>
    </font>
    <font>
      <b/>
      <sz val="14"/>
      <color rgb="FF616365"/>
      <name val="Cairo"/>
    </font>
    <font>
      <b/>
      <sz val="13"/>
      <name val="Sakkal Majalla"/>
    </font>
    <font>
      <b/>
      <sz val="20"/>
      <color rgb="FF616365"/>
      <name val="Sakkal Majalla"/>
    </font>
    <font>
      <sz val="8"/>
      <name val="Calibri"/>
      <family val="2"/>
      <charset val="178"/>
      <scheme val="minor"/>
    </font>
    <font>
      <b/>
      <sz val="13"/>
      <color rgb="FF0000FF"/>
      <name val="Sakkal Majalla"/>
    </font>
    <font>
      <b/>
      <sz val="13"/>
      <color rgb="FFFF0000"/>
      <name val="Sakkal Majalla"/>
    </font>
    <font>
      <b/>
      <sz val="13.5"/>
      <color rgb="FF616365"/>
      <name val="Sakkal Majalla"/>
    </font>
    <font>
      <sz val="10.5"/>
      <color rgb="FFFF0000"/>
      <name val="Sakkal Majalla"/>
    </font>
    <font>
      <b/>
      <sz val="14"/>
      <color rgb="FFFF0000"/>
      <name val="Sakkal Majalla"/>
    </font>
    <font>
      <b/>
      <sz val="9"/>
      <color rgb="FF0000FF"/>
      <name val="Sakkal Majalla"/>
    </font>
    <font>
      <b/>
      <sz val="12"/>
      <color theme="4"/>
      <name val="Sakkal Majalla"/>
    </font>
    <font>
      <b/>
      <sz val="16"/>
      <color rgb="FF0070C0"/>
      <name val="Sakkal Majalla"/>
    </font>
    <font>
      <b/>
      <sz val="12"/>
      <color rgb="FF0070C0"/>
      <name val="Sakkal Majalla"/>
    </font>
    <font>
      <b/>
      <sz val="22"/>
      <color rgb="FF0070C0"/>
      <name val="Sakkal Majalla"/>
    </font>
    <font>
      <b/>
      <sz val="14"/>
      <color rgb="FF0070C0"/>
      <name val="Sakkal Majalla"/>
    </font>
    <font>
      <b/>
      <sz val="10"/>
      <color rgb="FF0070C0"/>
      <name val="Sakkal Majalla"/>
    </font>
    <font>
      <b/>
      <sz val="11"/>
      <color rgb="FF0070C0"/>
      <name val="Sakkal Majalla"/>
    </font>
    <font>
      <b/>
      <sz val="10"/>
      <color rgb="FF616365"/>
      <name val="Cairo"/>
    </font>
    <font>
      <sz val="15"/>
      <color theme="10"/>
      <name val="Sakkal Majalla"/>
    </font>
    <font>
      <sz val="9.5"/>
      <color rgb="FF0000FF"/>
      <name val="Wingdings"/>
      <charset val="2"/>
    </font>
    <font>
      <sz val="11"/>
      <color theme="0"/>
      <name val="Calibri"/>
      <family val="2"/>
      <scheme val="minor"/>
    </font>
    <font>
      <b/>
      <sz val="11"/>
      <color rgb="FF616365"/>
      <name val="Sakkal Majalla"/>
    </font>
    <font>
      <b/>
      <sz val="11"/>
      <color rgb="FFFF0000"/>
      <name val="Sakkal Majalla"/>
    </font>
    <font>
      <b/>
      <sz val="9.5"/>
      <color rgb="FFFF0000"/>
      <name val="Sakkal Majalla"/>
    </font>
    <font>
      <sz val="9.5"/>
      <color rgb="FFFF0000"/>
      <name val="Sakkal Majalla"/>
    </font>
    <font>
      <b/>
      <sz val="13"/>
      <color rgb="FF0070C0"/>
      <name val="Sakkal Majalla"/>
    </font>
    <font>
      <b/>
      <sz val="16"/>
      <color theme="0"/>
      <name val="Sakkal Majalla"/>
    </font>
    <font>
      <b/>
      <sz val="15"/>
      <color rgb="FF0070C0"/>
      <name val="Sakkal Majalla"/>
    </font>
    <font>
      <sz val="13"/>
      <color rgb="FF0070C0"/>
      <name val="Sakkal Majalla"/>
    </font>
    <font>
      <b/>
      <sz val="11"/>
      <color theme="1"/>
      <name val="Sakkal Majalla"/>
    </font>
    <font>
      <b/>
      <sz val="18"/>
      <color rgb="FF0070C0"/>
      <name val="Sakkal Majalla"/>
    </font>
    <font>
      <b/>
      <sz val="2"/>
      <color theme="2"/>
      <name val="Sakkal Majalla"/>
    </font>
    <font>
      <sz val="11"/>
      <color rgb="FFFF0000"/>
      <name val="Sakkal Majalla"/>
    </font>
    <font>
      <sz val="11"/>
      <color rgb="FF0000FF"/>
      <name val="Wingdings"/>
      <charset val="2"/>
    </font>
    <font>
      <sz val="11"/>
      <color rgb="FF0000FF"/>
      <name val="Sakkal Majalla"/>
    </font>
    <font>
      <sz val="11"/>
      <color rgb="FFFF0000"/>
      <name val="Webdings"/>
      <family val="1"/>
      <charset val="2"/>
    </font>
    <font>
      <sz val="8"/>
      <color rgb="FF000000"/>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3B7D98"/>
        <bgColor indexed="64"/>
      </patternFill>
    </fill>
    <fill>
      <patternFill patternType="solid">
        <fgColor theme="0"/>
        <bgColor indexed="64"/>
      </patternFill>
    </fill>
  </fills>
  <borders count="68">
    <border>
      <left/>
      <right/>
      <top/>
      <bottom/>
      <diagonal/>
    </border>
    <border>
      <left/>
      <right/>
      <top style="thick">
        <color theme="2" tint="-0.499984740745262"/>
      </top>
      <bottom/>
      <diagonal/>
    </border>
    <border>
      <left style="thin">
        <color theme="2" tint="-9.9948118533890809E-2"/>
      </left>
      <right/>
      <top/>
      <bottom/>
      <diagonal/>
    </border>
    <border>
      <left/>
      <right style="thin">
        <color theme="2" tint="-9.9948118533890809E-2"/>
      </right>
      <top/>
      <bottom/>
      <diagonal/>
    </border>
    <border>
      <left style="thin">
        <color theme="2" tint="-9.9948118533890809E-2"/>
      </left>
      <right/>
      <top/>
      <bottom style="thin">
        <color theme="2" tint="-9.9948118533890809E-2"/>
      </bottom>
      <diagonal/>
    </border>
    <border>
      <left/>
      <right/>
      <top/>
      <bottom style="thin">
        <color theme="2" tint="-9.9948118533890809E-2"/>
      </bottom>
      <diagonal/>
    </border>
    <border>
      <left/>
      <right style="thin">
        <color theme="2" tint="-9.9948118533890809E-2"/>
      </right>
      <top/>
      <bottom style="thin">
        <color theme="2" tint="-9.9948118533890809E-2"/>
      </bottom>
      <diagonal/>
    </border>
    <border>
      <left style="thin">
        <color theme="2" tint="-9.9948118533890809E-2"/>
      </left>
      <right/>
      <top style="thin">
        <color theme="2" tint="-9.9917600024414813E-2"/>
      </top>
      <bottom/>
      <diagonal/>
    </border>
    <border>
      <left/>
      <right/>
      <top style="thin">
        <color theme="2" tint="-9.9917600024414813E-2"/>
      </top>
      <bottom/>
      <diagonal/>
    </border>
    <border>
      <left/>
      <right style="thin">
        <color theme="2" tint="-9.9948118533890809E-2"/>
      </right>
      <top style="thin">
        <color theme="2" tint="-9.9917600024414813E-2"/>
      </top>
      <bottom/>
      <diagonal/>
    </border>
    <border>
      <left style="thin">
        <color theme="2" tint="-0.24994659260841701"/>
      </left>
      <right/>
      <top style="thin">
        <color theme="2" tint="-0.24994659260841701"/>
      </top>
      <bottom/>
      <diagonal/>
    </border>
    <border>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top/>
      <bottom style="thin">
        <color theme="2" tint="-0.24994659260841701"/>
      </bottom>
      <diagonal/>
    </border>
    <border>
      <left/>
      <right/>
      <top/>
      <bottom style="thin">
        <color theme="2" tint="-0.24994659260841701"/>
      </bottom>
      <diagonal/>
    </border>
    <border>
      <left/>
      <right style="thin">
        <color theme="2" tint="-0.24994659260841701"/>
      </right>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n">
        <color theme="2" tint="-9.9917600024414813E-2"/>
      </left>
      <right/>
      <top style="thin">
        <color theme="2" tint="-9.9917600024414813E-2"/>
      </top>
      <bottom/>
      <diagonal/>
    </border>
    <border>
      <left/>
      <right style="thin">
        <color theme="2" tint="-9.9917600024414813E-2"/>
      </right>
      <top style="thin">
        <color theme="2" tint="-9.9917600024414813E-2"/>
      </top>
      <bottom/>
      <diagonal/>
    </border>
    <border>
      <left style="thin">
        <color theme="2" tint="-9.9917600024414813E-2"/>
      </left>
      <right/>
      <top/>
      <bottom/>
      <diagonal/>
    </border>
    <border>
      <left/>
      <right style="thin">
        <color theme="2" tint="-9.9917600024414813E-2"/>
      </right>
      <top/>
      <bottom/>
      <diagonal/>
    </border>
    <border>
      <left style="thin">
        <color theme="2" tint="-9.9917600024414813E-2"/>
      </left>
      <right/>
      <top/>
      <bottom style="thin">
        <color theme="2" tint="-9.9917600024414813E-2"/>
      </bottom>
      <diagonal/>
    </border>
    <border>
      <left/>
      <right/>
      <top/>
      <bottom style="thin">
        <color theme="2" tint="-9.9917600024414813E-2"/>
      </bottom>
      <diagonal/>
    </border>
    <border>
      <left/>
      <right style="thin">
        <color theme="2" tint="-9.9917600024414813E-2"/>
      </right>
      <top/>
      <bottom style="thin">
        <color theme="2" tint="-9.9917600024414813E-2"/>
      </bottom>
      <diagonal/>
    </border>
    <border>
      <left style="thin">
        <color indexed="64"/>
      </left>
      <right style="thin">
        <color indexed="64"/>
      </right>
      <top style="thin">
        <color indexed="64"/>
      </top>
      <bottom style="thin">
        <color indexed="64"/>
      </bottom>
      <diagonal/>
    </border>
    <border>
      <left/>
      <right style="thick">
        <color theme="0"/>
      </right>
      <top/>
      <bottom/>
      <diagonal/>
    </border>
    <border>
      <left style="thin">
        <color rgb="FF3B7D98"/>
      </left>
      <right/>
      <top style="thin">
        <color rgb="FF3B7D98"/>
      </top>
      <bottom/>
      <diagonal/>
    </border>
    <border>
      <left/>
      <right/>
      <top style="thin">
        <color rgb="FF3B7D98"/>
      </top>
      <bottom/>
      <diagonal/>
    </border>
    <border>
      <left/>
      <right style="thin">
        <color rgb="FF3B7D98"/>
      </right>
      <top style="thin">
        <color rgb="FF3B7D98"/>
      </top>
      <bottom/>
      <diagonal/>
    </border>
    <border>
      <left style="thin">
        <color rgb="FF3B7D98"/>
      </left>
      <right/>
      <top/>
      <bottom/>
      <diagonal/>
    </border>
    <border>
      <left/>
      <right style="thin">
        <color rgb="FF3B7D98"/>
      </right>
      <top/>
      <bottom/>
      <diagonal/>
    </border>
    <border>
      <left style="thin">
        <color rgb="FF3B7D98"/>
      </left>
      <right/>
      <top/>
      <bottom style="thin">
        <color rgb="FF3B7D98"/>
      </bottom>
      <diagonal/>
    </border>
    <border>
      <left/>
      <right/>
      <top/>
      <bottom style="thin">
        <color rgb="FF3B7D98"/>
      </bottom>
      <diagonal/>
    </border>
    <border>
      <left/>
      <right style="thin">
        <color rgb="FF3B7D98"/>
      </right>
      <top/>
      <bottom style="thin">
        <color rgb="FF3B7D98"/>
      </bottom>
      <diagonal/>
    </border>
    <border>
      <left style="thin">
        <color theme="2" tint="-9.9887081514938816E-2"/>
      </left>
      <right/>
      <top style="thin">
        <color theme="2" tint="-9.9917600024414813E-2"/>
      </top>
      <bottom/>
      <diagonal/>
    </border>
    <border>
      <left style="thin">
        <color theme="2" tint="-9.9887081514938816E-2"/>
      </left>
      <right/>
      <top/>
      <bottom/>
      <diagonal/>
    </border>
    <border>
      <left style="thin">
        <color theme="2" tint="-9.9887081514938816E-2"/>
      </left>
      <right/>
      <top/>
      <bottom style="thin">
        <color theme="2" tint="-9.9917600024414813E-2"/>
      </bottom>
      <diagonal/>
    </border>
    <border>
      <left/>
      <right style="thin">
        <color theme="2" tint="-9.9887081514938816E-2"/>
      </right>
      <top style="thin">
        <color theme="2" tint="-9.9917600024414813E-2"/>
      </top>
      <bottom/>
      <diagonal/>
    </border>
    <border>
      <left/>
      <right style="thin">
        <color theme="2" tint="-9.9887081514938816E-2"/>
      </right>
      <top/>
      <bottom/>
      <diagonal/>
    </border>
    <border>
      <left/>
      <right style="thin">
        <color theme="2" tint="-9.9887081514938816E-2"/>
      </right>
      <top/>
      <bottom style="thin">
        <color theme="2" tint="-9.9917600024414813E-2"/>
      </bottom>
      <diagonal/>
    </border>
    <border>
      <left style="thin">
        <color theme="2" tint="-9.985656300546282E-2"/>
      </left>
      <right/>
      <top style="thin">
        <color theme="2" tint="-9.985656300546282E-2"/>
      </top>
      <bottom style="thin">
        <color theme="2" tint="-9.985656300546282E-2"/>
      </bottom>
      <diagonal/>
    </border>
    <border>
      <left/>
      <right/>
      <top style="thin">
        <color theme="2" tint="-9.985656300546282E-2"/>
      </top>
      <bottom style="thin">
        <color theme="2" tint="-9.985656300546282E-2"/>
      </bottom>
      <diagonal/>
    </border>
    <border>
      <left/>
      <right style="thin">
        <color theme="2" tint="-9.985656300546282E-2"/>
      </right>
      <top style="thin">
        <color theme="2" tint="-9.985656300546282E-2"/>
      </top>
      <bottom style="thin">
        <color theme="2" tint="-9.985656300546282E-2"/>
      </bottom>
      <diagonal/>
    </border>
    <border>
      <left style="thin">
        <color theme="2" tint="-9.9887081514938816E-2"/>
      </left>
      <right/>
      <top style="thin">
        <color theme="2" tint="-9.9887081514938816E-2"/>
      </top>
      <bottom style="thin">
        <color theme="2" tint="-9.9887081514938816E-2"/>
      </bottom>
      <diagonal/>
    </border>
    <border>
      <left/>
      <right/>
      <top style="thin">
        <color theme="2" tint="-9.9887081514938816E-2"/>
      </top>
      <bottom style="thin">
        <color theme="2" tint="-9.9887081514938816E-2"/>
      </bottom>
      <diagonal/>
    </border>
    <border>
      <left/>
      <right style="thin">
        <color theme="2" tint="-9.9887081514938816E-2"/>
      </right>
      <top style="thin">
        <color theme="2" tint="-9.9887081514938816E-2"/>
      </top>
      <bottom style="thin">
        <color theme="2" tint="-9.9887081514938816E-2"/>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2" tint="-9.9887081514938816E-2"/>
      </left>
      <right/>
      <top/>
      <bottom style="thin">
        <color theme="2" tint="-9.9948118533890809E-2"/>
      </bottom>
      <diagonal/>
    </border>
    <border>
      <left/>
      <right/>
      <top style="thick">
        <color theme="2"/>
      </top>
      <bottom style="thick">
        <color theme="2"/>
      </bottom>
      <diagonal/>
    </border>
    <border>
      <left style="thick">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2" tint="-0.499984740745262"/>
      </left>
      <right/>
      <top/>
      <bottom/>
      <diagonal/>
    </border>
    <border>
      <left/>
      <right style="thick">
        <color theme="2" tint="-0.499984740745262"/>
      </right>
      <top/>
      <bottom/>
      <diagonal/>
    </border>
    <border>
      <left style="thick">
        <color theme="2" tint="-0.499984740745262"/>
      </left>
      <right/>
      <top/>
      <bottom style="thick">
        <color theme="2" tint="-0.499984740745262"/>
      </bottom>
      <diagonal/>
    </border>
    <border>
      <left/>
      <right/>
      <top/>
      <bottom style="thick">
        <color theme="2" tint="-0.499984740745262"/>
      </bottom>
      <diagonal/>
    </border>
    <border>
      <left/>
      <right style="thick">
        <color theme="2" tint="-0.499984740745262"/>
      </right>
      <top/>
      <bottom style="thick">
        <color theme="2" tint="-0.499984740745262"/>
      </bottom>
      <diagonal/>
    </border>
  </borders>
  <cellStyleXfs count="7">
    <xf numFmtId="0" fontId="0" fillId="0" borderId="0"/>
    <xf numFmtId="0" fontId="3" fillId="0" borderId="0"/>
    <xf numFmtId="0" fontId="2" fillId="0" borderId="0"/>
    <xf numFmtId="0" fontId="10" fillId="0" borderId="0" applyNumberFormat="0" applyFill="0" applyBorder="0" applyAlignment="0" applyProtection="0"/>
    <xf numFmtId="0" fontId="3" fillId="0" borderId="0"/>
    <xf numFmtId="0" fontId="19" fillId="0" borderId="0"/>
    <xf numFmtId="0" fontId="29" fillId="0" borderId="0" applyNumberFormat="0" applyFill="0" applyBorder="0" applyAlignment="0" applyProtection="0"/>
  </cellStyleXfs>
  <cellXfs count="231">
    <xf numFmtId="0" fontId="0" fillId="0" borderId="0" xfId="0"/>
    <xf numFmtId="0" fontId="1" fillId="0" borderId="0" xfId="0" applyFont="1" applyAlignment="1">
      <alignment horizontal="center" vertical="center"/>
    </xf>
    <xf numFmtId="0" fontId="4" fillId="0" borderId="0" xfId="1" applyFont="1" applyAlignment="1">
      <alignment wrapText="1"/>
    </xf>
    <xf numFmtId="0" fontId="5" fillId="0" borderId="0" xfId="2" applyFont="1" applyAlignment="1">
      <alignment horizontal="center" vertical="center" wrapText="1"/>
    </xf>
    <xf numFmtId="0" fontId="6" fillId="0" borderId="0" xfId="2" applyFont="1" applyAlignment="1">
      <alignment horizontal="center" vertical="center" wrapText="1"/>
    </xf>
    <xf numFmtId="0" fontId="3" fillId="0" borderId="0" xfId="1" applyAlignment="1">
      <alignment readingOrder="2"/>
    </xf>
    <xf numFmtId="0" fontId="8" fillId="0" borderId="0" xfId="1" applyFont="1" applyAlignment="1">
      <alignment vertical="center"/>
    </xf>
    <xf numFmtId="0" fontId="8" fillId="0" borderId="0" xfId="1" applyFont="1" applyAlignment="1">
      <alignment horizontal="center" vertical="center"/>
    </xf>
    <xf numFmtId="0" fontId="9" fillId="0" borderId="0" xfId="1" applyFont="1" applyAlignment="1">
      <alignment horizontal="left"/>
    </xf>
    <xf numFmtId="0" fontId="9" fillId="0" borderId="0" xfId="1" applyFont="1" applyAlignment="1">
      <alignment horizontal="center"/>
    </xf>
    <xf numFmtId="0" fontId="11" fillId="0" borderId="1" xfId="3" applyFont="1" applyFill="1" applyBorder="1" applyAlignment="1" applyProtection="1">
      <alignment vertical="center" readingOrder="2"/>
    </xf>
    <xf numFmtId="0" fontId="12" fillId="0" borderId="0" xfId="3" applyFont="1" applyFill="1" applyBorder="1" applyAlignment="1" applyProtection="1">
      <alignment horizontal="center" vertical="center" readingOrder="2"/>
    </xf>
    <xf numFmtId="0" fontId="11" fillId="0" borderId="0" xfId="3" applyFont="1" applyFill="1" applyBorder="1" applyAlignment="1" applyProtection="1">
      <alignment vertical="center" readingOrder="2"/>
    </xf>
    <xf numFmtId="0" fontId="13" fillId="0" borderId="0" xfId="3" applyFont="1" applyFill="1" applyBorder="1" applyAlignment="1" applyProtection="1">
      <alignment horizontal="center" vertical="center" wrapText="1" readingOrder="1"/>
    </xf>
    <xf numFmtId="0" fontId="14" fillId="0" borderId="0" xfId="3" applyFont="1" applyFill="1" applyBorder="1" applyAlignment="1" applyProtection="1">
      <alignment vertical="center" readingOrder="2"/>
    </xf>
    <xf numFmtId="0" fontId="12" fillId="2" borderId="0" xfId="3" applyFont="1" applyFill="1" applyBorder="1" applyAlignment="1" applyProtection="1">
      <alignment horizontal="center" vertical="center" readingOrder="2"/>
    </xf>
    <xf numFmtId="0" fontId="16" fillId="0" borderId="0" xfId="3" applyFont="1" applyFill="1" applyBorder="1" applyAlignment="1" applyProtection="1">
      <alignment horizontal="center" vertical="center" wrapText="1" readingOrder="1"/>
    </xf>
    <xf numFmtId="0" fontId="17" fillId="0" borderId="0" xfId="0" applyFont="1"/>
    <xf numFmtId="0" fontId="18" fillId="0" borderId="0" xfId="3" applyFont="1" applyFill="1" applyBorder="1" applyAlignment="1" applyProtection="1">
      <alignment horizontal="center" vertical="center" readingOrder="2"/>
    </xf>
    <xf numFmtId="0" fontId="18" fillId="2" borderId="0" xfId="3" applyFont="1" applyFill="1" applyBorder="1" applyAlignment="1" applyProtection="1">
      <alignment horizontal="center" vertical="center" readingOrder="2"/>
    </xf>
    <xf numFmtId="0" fontId="18" fillId="3" borderId="0" xfId="3" applyFont="1" applyFill="1" applyBorder="1" applyAlignment="1" applyProtection="1">
      <alignment horizontal="center" vertical="center" readingOrder="2"/>
    </xf>
    <xf numFmtId="0" fontId="7" fillId="0" borderId="0" xfId="1" applyFont="1" applyAlignment="1">
      <alignment vertical="center" readingOrder="2"/>
    </xf>
    <xf numFmtId="0" fontId="8" fillId="3" borderId="0" xfId="3" applyFont="1" applyFill="1" applyBorder="1" applyAlignment="1" applyProtection="1">
      <alignment horizontal="center" vertical="center" readingOrder="2"/>
    </xf>
    <xf numFmtId="0" fontId="20" fillId="3" borderId="0" xfId="3" applyFont="1" applyFill="1" applyBorder="1" applyAlignment="1" applyProtection="1">
      <alignment horizontal="center" vertical="center" readingOrder="2"/>
    </xf>
    <xf numFmtId="0" fontId="15" fillId="2" borderId="0" xfId="3" applyFont="1" applyFill="1" applyBorder="1" applyAlignment="1" applyProtection="1">
      <alignment horizontal="center" vertical="center" readingOrder="2"/>
    </xf>
    <xf numFmtId="0" fontId="23" fillId="3" borderId="0" xfId="3" applyFont="1" applyFill="1" applyBorder="1" applyAlignment="1" applyProtection="1">
      <alignment horizontal="center" vertical="center" readingOrder="2"/>
    </xf>
    <xf numFmtId="0" fontId="25" fillId="3" borderId="0" xfId="3" applyFont="1" applyFill="1" applyBorder="1" applyAlignment="1" applyProtection="1">
      <alignment horizontal="center" vertical="center" readingOrder="2"/>
    </xf>
    <xf numFmtId="0" fontId="27" fillId="0" borderId="0" xfId="1" applyFont="1" applyAlignment="1">
      <alignment readingOrder="2"/>
    </xf>
    <xf numFmtId="0" fontId="26" fillId="0" borderId="0" xfId="3" applyFont="1" applyFill="1" applyBorder="1" applyAlignment="1" applyProtection="1">
      <alignment horizontal="center" vertical="center" readingOrder="2"/>
    </xf>
    <xf numFmtId="0" fontId="28" fillId="0" borderId="0" xfId="3" applyFont="1" applyFill="1" applyBorder="1" applyAlignment="1" applyProtection="1">
      <alignment horizontal="center" vertical="center" readingOrder="2"/>
    </xf>
    <xf numFmtId="0" fontId="30" fillId="0" borderId="0" xfId="3" applyFont="1" applyFill="1" applyBorder="1" applyAlignment="1" applyProtection="1">
      <alignment horizontal="center" vertical="center" readingOrder="2"/>
    </xf>
    <xf numFmtId="0" fontId="21" fillId="3" borderId="0" xfId="3" applyFont="1" applyFill="1" applyBorder="1" applyAlignment="1" applyProtection="1">
      <alignment horizontal="center" vertical="center" readingOrder="2"/>
    </xf>
    <xf numFmtId="0" fontId="18" fillId="4" borderId="0" xfId="3" applyFont="1" applyFill="1" applyBorder="1" applyAlignment="1" applyProtection="1">
      <alignment horizontal="center" vertical="center" readingOrder="2"/>
    </xf>
    <xf numFmtId="0" fontId="18" fillId="3" borderId="2" xfId="3" applyFont="1" applyFill="1" applyBorder="1" applyAlignment="1" applyProtection="1">
      <alignment horizontal="center" vertical="center" readingOrder="2"/>
    </xf>
    <xf numFmtId="0" fontId="18" fillId="3" borderId="3" xfId="3" applyFont="1" applyFill="1" applyBorder="1" applyAlignment="1" applyProtection="1">
      <alignment horizontal="center" vertical="center" readingOrder="2"/>
    </xf>
    <xf numFmtId="0" fontId="18" fillId="3" borderId="4" xfId="3" applyFont="1" applyFill="1" applyBorder="1" applyAlignment="1" applyProtection="1">
      <alignment horizontal="center" vertical="center" readingOrder="2"/>
    </xf>
    <xf numFmtId="0" fontId="18" fillId="3" borderId="5" xfId="3" applyFont="1" applyFill="1" applyBorder="1" applyAlignment="1" applyProtection="1">
      <alignment horizontal="center" vertical="center" readingOrder="2"/>
    </xf>
    <xf numFmtId="0" fontId="18" fillId="3" borderId="6" xfId="3" applyFont="1" applyFill="1" applyBorder="1" applyAlignment="1" applyProtection="1">
      <alignment horizontal="center" vertical="center" readingOrder="2"/>
    </xf>
    <xf numFmtId="0" fontId="18" fillId="3" borderId="7" xfId="3" applyFont="1" applyFill="1" applyBorder="1" applyAlignment="1" applyProtection="1">
      <alignment horizontal="center" vertical="center" readingOrder="2"/>
    </xf>
    <xf numFmtId="0" fontId="18" fillId="3" borderId="8" xfId="3" applyFont="1" applyFill="1" applyBorder="1" applyAlignment="1" applyProtection="1">
      <alignment horizontal="center" vertical="center" readingOrder="2"/>
    </xf>
    <xf numFmtId="0" fontId="18" fillId="3" borderId="9" xfId="3" applyFont="1" applyFill="1" applyBorder="1" applyAlignment="1" applyProtection="1">
      <alignment horizontal="center" vertical="center" readingOrder="2"/>
    </xf>
    <xf numFmtId="164" fontId="15" fillId="2" borderId="0" xfId="3" applyNumberFormat="1" applyFont="1" applyFill="1" applyBorder="1" applyAlignment="1" applyProtection="1">
      <alignment vertical="center" readingOrder="2"/>
    </xf>
    <xf numFmtId="0" fontId="21" fillId="3" borderId="0" xfId="3" applyFont="1" applyFill="1" applyBorder="1" applyAlignment="1" applyProtection="1">
      <alignment vertical="center" readingOrder="2"/>
    </xf>
    <xf numFmtId="0" fontId="21" fillId="3" borderId="24" xfId="3" applyFont="1" applyFill="1" applyBorder="1" applyAlignment="1" applyProtection="1">
      <alignment vertical="center" readingOrder="2"/>
    </xf>
    <xf numFmtId="0" fontId="21" fillId="3" borderId="8" xfId="3" applyFont="1" applyFill="1" applyBorder="1" applyAlignment="1" applyProtection="1">
      <alignment vertical="center" readingOrder="2"/>
    </xf>
    <xf numFmtId="0" fontId="21" fillId="3" borderId="25" xfId="3" applyFont="1" applyFill="1" applyBorder="1" applyAlignment="1" applyProtection="1">
      <alignment vertical="center" readingOrder="2"/>
    </xf>
    <xf numFmtId="0" fontId="21" fillId="3" borderId="26" xfId="3" applyFont="1" applyFill="1" applyBorder="1" applyAlignment="1" applyProtection="1">
      <alignment vertical="center" readingOrder="2"/>
    </xf>
    <xf numFmtId="0" fontId="21" fillId="3" borderId="27" xfId="3" applyFont="1" applyFill="1" applyBorder="1" applyAlignment="1" applyProtection="1">
      <alignment vertical="center" readingOrder="2"/>
    </xf>
    <xf numFmtId="0" fontId="21" fillId="3" borderId="28" xfId="3" applyFont="1" applyFill="1" applyBorder="1" applyAlignment="1" applyProtection="1">
      <alignment vertical="center" readingOrder="2"/>
    </xf>
    <xf numFmtId="0" fontId="21" fillId="3" borderId="29" xfId="3" applyFont="1" applyFill="1" applyBorder="1" applyAlignment="1" applyProtection="1">
      <alignment vertical="center" readingOrder="2"/>
    </xf>
    <xf numFmtId="0" fontId="21" fillId="3" borderId="30" xfId="3" applyFont="1" applyFill="1" applyBorder="1" applyAlignment="1" applyProtection="1">
      <alignment vertical="center" readingOrder="2"/>
    </xf>
    <xf numFmtId="0" fontId="31" fillId="2" borderId="0" xfId="3" applyFont="1" applyFill="1" applyBorder="1" applyAlignment="1" applyProtection="1">
      <alignment horizontal="center" vertical="top" readingOrder="2"/>
    </xf>
    <xf numFmtId="0" fontId="32" fillId="0" borderId="0" xfId="3" applyFont="1" applyFill="1" applyBorder="1" applyAlignment="1" applyProtection="1">
      <alignment vertical="center" readingOrder="2"/>
    </xf>
    <xf numFmtId="0" fontId="33" fillId="3" borderId="0" xfId="3" applyFont="1" applyFill="1" applyBorder="1" applyAlignment="1" applyProtection="1">
      <alignment horizontal="center" vertical="center" readingOrder="2"/>
    </xf>
    <xf numFmtId="0" fontId="33" fillId="2" borderId="0" xfId="3" applyFont="1" applyFill="1" applyBorder="1" applyAlignment="1" applyProtection="1">
      <alignment horizontal="center" vertical="center" readingOrder="2"/>
    </xf>
    <xf numFmtId="0" fontId="34" fillId="3" borderId="0" xfId="3" applyFont="1" applyFill="1" applyBorder="1" applyAlignment="1" applyProtection="1">
      <alignment horizontal="center" vertical="center" readingOrder="2"/>
    </xf>
    <xf numFmtId="0" fontId="34" fillId="2" borderId="0" xfId="3" applyFont="1" applyFill="1" applyBorder="1" applyAlignment="1" applyProtection="1">
      <alignment horizontal="center" vertical="center" readingOrder="2"/>
    </xf>
    <xf numFmtId="0" fontId="22" fillId="2" borderId="8" xfId="3" applyFont="1" applyFill="1" applyBorder="1" applyAlignment="1" applyProtection="1">
      <alignment vertical="center" readingOrder="2"/>
    </xf>
    <xf numFmtId="0" fontId="0" fillId="2" borderId="0" xfId="0" applyFill="1"/>
    <xf numFmtId="0" fontId="37" fillId="0" borderId="0" xfId="0" applyFont="1" applyAlignment="1">
      <alignment horizontal="center" vertical="center"/>
    </xf>
    <xf numFmtId="0" fontId="37" fillId="5" borderId="31" xfId="0" applyFont="1" applyFill="1" applyBorder="1" applyAlignment="1">
      <alignment horizontal="center" vertical="center"/>
    </xf>
    <xf numFmtId="0" fontId="37" fillId="0" borderId="31" xfId="0" applyFont="1" applyBorder="1" applyAlignment="1">
      <alignment horizontal="center" vertical="center"/>
    </xf>
    <xf numFmtId="0" fontId="37" fillId="0" borderId="31" xfId="0" applyFont="1" applyBorder="1" applyAlignment="1">
      <alignment horizontal="right" vertical="center" indent="1"/>
    </xf>
    <xf numFmtId="0" fontId="37" fillId="3" borderId="31" xfId="0" applyFont="1" applyFill="1" applyBorder="1" applyAlignment="1">
      <alignment horizontal="center" vertical="center"/>
    </xf>
    <xf numFmtId="0" fontId="37" fillId="3" borderId="31" xfId="0" applyFont="1" applyFill="1" applyBorder="1" applyAlignment="1">
      <alignment horizontal="right" vertical="center" indent="1"/>
    </xf>
    <xf numFmtId="0" fontId="36" fillId="0" borderId="0" xfId="0" applyFont="1"/>
    <xf numFmtId="0" fontId="36" fillId="0" borderId="0" xfId="0" applyFont="1" applyAlignment="1">
      <alignment horizontal="right" indent="1"/>
    </xf>
    <xf numFmtId="0" fontId="37" fillId="0" borderId="0" xfId="0" applyFont="1" applyAlignment="1">
      <alignment horizontal="right" vertical="center" indent="1"/>
    </xf>
    <xf numFmtId="0" fontId="21" fillId="3" borderId="0" xfId="3" applyFont="1" applyFill="1" applyBorder="1" applyAlignment="1" applyProtection="1">
      <alignment horizontal="left" vertical="center" indent="1" readingOrder="2"/>
    </xf>
    <xf numFmtId="0" fontId="22" fillId="3" borderId="0" xfId="3" applyFont="1" applyFill="1" applyBorder="1" applyAlignment="1" applyProtection="1">
      <alignment vertical="center" readingOrder="2"/>
    </xf>
    <xf numFmtId="0" fontId="22" fillId="3" borderId="0" xfId="3" applyFont="1" applyFill="1" applyBorder="1" applyAlignment="1" applyProtection="1">
      <alignment horizontal="right" vertical="center" readingOrder="2"/>
    </xf>
    <xf numFmtId="0" fontId="18" fillId="2" borderId="8" xfId="3" applyFont="1" applyFill="1" applyBorder="1" applyAlignment="1" applyProtection="1">
      <alignment horizontal="center" vertical="center" readingOrder="2"/>
    </xf>
    <xf numFmtId="0" fontId="18" fillId="2" borderId="41" xfId="3" applyFont="1" applyFill="1" applyBorder="1" applyAlignment="1" applyProtection="1">
      <alignment horizontal="center" vertical="center" readingOrder="2"/>
    </xf>
    <xf numFmtId="0" fontId="18" fillId="2" borderId="42" xfId="3" applyFont="1" applyFill="1" applyBorder="1" applyAlignment="1" applyProtection="1">
      <alignment horizontal="center" vertical="center" readingOrder="2"/>
    </xf>
    <xf numFmtId="0" fontId="18" fillId="2" borderId="43" xfId="3" applyFont="1" applyFill="1" applyBorder="1" applyAlignment="1" applyProtection="1">
      <alignment horizontal="center" vertical="center" readingOrder="2"/>
    </xf>
    <xf numFmtId="0" fontId="18" fillId="2" borderId="44" xfId="3" applyFont="1" applyFill="1" applyBorder="1" applyAlignment="1" applyProtection="1">
      <alignment horizontal="center" vertical="center" readingOrder="2"/>
    </xf>
    <xf numFmtId="0" fontId="18" fillId="2" borderId="45" xfId="3" applyFont="1" applyFill="1" applyBorder="1" applyAlignment="1" applyProtection="1">
      <alignment horizontal="center" vertical="center" readingOrder="2"/>
    </xf>
    <xf numFmtId="0" fontId="18" fillId="2" borderId="46" xfId="3" applyFont="1" applyFill="1" applyBorder="1" applyAlignment="1" applyProtection="1">
      <alignment horizontal="center" vertical="center" readingOrder="2"/>
    </xf>
    <xf numFmtId="0" fontId="40" fillId="0" borderId="0" xfId="1" applyFont="1" applyAlignment="1">
      <alignment horizontal="center" vertical="center"/>
    </xf>
    <xf numFmtId="0" fontId="21" fillId="2" borderId="33" xfId="3" applyFont="1" applyFill="1" applyBorder="1" applyAlignment="1" applyProtection="1">
      <alignment vertical="center" readingOrder="2"/>
    </xf>
    <xf numFmtId="0" fontId="21" fillId="2" borderId="34" xfId="3" applyFont="1" applyFill="1" applyBorder="1" applyAlignment="1" applyProtection="1">
      <alignment vertical="center" readingOrder="2"/>
    </xf>
    <xf numFmtId="0" fontId="21" fillId="2" borderId="35" xfId="3" applyFont="1" applyFill="1" applyBorder="1" applyAlignment="1" applyProtection="1">
      <alignment vertical="center" readingOrder="2"/>
    </xf>
    <xf numFmtId="0" fontId="33" fillId="2" borderId="36" xfId="3" applyFont="1" applyFill="1" applyBorder="1" applyAlignment="1" applyProtection="1">
      <alignment vertical="center" readingOrder="2"/>
    </xf>
    <xf numFmtId="0" fontId="33" fillId="2" borderId="37" xfId="3" applyFont="1" applyFill="1" applyBorder="1" applyAlignment="1" applyProtection="1">
      <alignment vertical="center" readingOrder="2"/>
    </xf>
    <xf numFmtId="0" fontId="21" fillId="2" borderId="38" xfId="3" applyFont="1" applyFill="1" applyBorder="1" applyAlignment="1" applyProtection="1">
      <alignment vertical="center" readingOrder="2"/>
    </xf>
    <xf numFmtId="0" fontId="21" fillId="2" borderId="39" xfId="3" applyFont="1" applyFill="1" applyBorder="1" applyAlignment="1" applyProtection="1">
      <alignment vertical="center" readingOrder="2"/>
    </xf>
    <xf numFmtId="0" fontId="21" fillId="2" borderId="40" xfId="3" applyFont="1" applyFill="1" applyBorder="1" applyAlignment="1" applyProtection="1">
      <alignment vertical="center" readingOrder="2"/>
    </xf>
    <xf numFmtId="0" fontId="35" fillId="0" borderId="0" xfId="1" applyFont="1" applyAlignment="1">
      <alignment horizontal="center" vertical="center"/>
    </xf>
    <xf numFmtId="0" fontId="0" fillId="0" borderId="0" xfId="0" applyProtection="1">
      <protection locked="0"/>
    </xf>
    <xf numFmtId="0" fontId="22" fillId="3" borderId="0" xfId="3" applyFont="1" applyFill="1" applyBorder="1" applyAlignment="1" applyProtection="1">
      <alignment horizontal="center" vertical="center" readingOrder="2"/>
    </xf>
    <xf numFmtId="0" fontId="11" fillId="0" borderId="0" xfId="3" applyFont="1" applyFill="1" applyBorder="1" applyAlignment="1" applyProtection="1">
      <alignment vertical="top" readingOrder="2"/>
    </xf>
    <xf numFmtId="0" fontId="18" fillId="0" borderId="0" xfId="3" applyFont="1" applyFill="1" applyBorder="1" applyAlignment="1" applyProtection="1">
      <alignment horizontal="center" vertical="top" readingOrder="2"/>
    </xf>
    <xf numFmtId="0" fontId="18" fillId="2" borderId="0" xfId="3" applyFont="1" applyFill="1" applyBorder="1" applyAlignment="1" applyProtection="1">
      <alignment horizontal="center" vertical="top" readingOrder="2"/>
    </xf>
    <xf numFmtId="0" fontId="13" fillId="0" borderId="0" xfId="3" applyFont="1" applyFill="1" applyBorder="1" applyAlignment="1" applyProtection="1">
      <alignment horizontal="center" vertical="top" wrapText="1" readingOrder="1"/>
    </xf>
    <xf numFmtId="0" fontId="58" fillId="0" borderId="0" xfId="1" applyFont="1" applyAlignment="1">
      <alignment readingOrder="2"/>
    </xf>
    <xf numFmtId="165" fontId="67" fillId="0" borderId="0" xfId="0" applyNumberFormat="1" applyFont="1" applyAlignment="1">
      <alignment horizontal="center" vertical="center" readingOrder="2"/>
    </xf>
    <xf numFmtId="0" fontId="22" fillId="7" borderId="0" xfId="3" applyFont="1" applyFill="1" applyBorder="1" applyAlignment="1" applyProtection="1">
      <alignment vertical="center" readingOrder="2"/>
    </xf>
    <xf numFmtId="0" fontId="18" fillId="3" borderId="41" xfId="3" applyFont="1" applyFill="1" applyBorder="1" applyAlignment="1" applyProtection="1">
      <alignment horizontal="center" vertical="center" readingOrder="2"/>
    </xf>
    <xf numFmtId="0" fontId="22" fillId="3" borderId="42" xfId="3" applyFont="1" applyFill="1" applyBorder="1" applyAlignment="1" applyProtection="1">
      <alignment vertical="center" readingOrder="2"/>
    </xf>
    <xf numFmtId="0" fontId="18" fillId="3" borderId="59" xfId="3" applyFont="1" applyFill="1" applyBorder="1" applyAlignment="1" applyProtection="1">
      <alignment horizontal="center" vertical="center" readingOrder="2"/>
    </xf>
    <xf numFmtId="0" fontId="59" fillId="3" borderId="0" xfId="3" applyFont="1" applyFill="1" applyBorder="1" applyAlignment="1" applyProtection="1">
      <alignment horizontal="center" vertical="center" readingOrder="2"/>
    </xf>
    <xf numFmtId="0" fontId="22" fillId="0" borderId="0" xfId="3" applyFont="1" applyFill="1" applyBorder="1" applyAlignment="1" applyProtection="1">
      <alignment horizontal="center" vertical="center" readingOrder="2"/>
    </xf>
    <xf numFmtId="0" fontId="53" fillId="0" borderId="0" xfId="3" applyFont="1" applyFill="1" applyBorder="1" applyAlignment="1" applyProtection="1">
      <alignment vertical="center" wrapText="1" readingOrder="2"/>
    </xf>
    <xf numFmtId="0" fontId="21" fillId="3" borderId="60" xfId="3" applyFont="1" applyFill="1" applyBorder="1" applyAlignment="1" applyProtection="1">
      <alignment vertical="center" readingOrder="2"/>
    </xf>
    <xf numFmtId="0" fontId="53" fillId="0" borderId="60" xfId="3" applyFont="1" applyFill="1" applyBorder="1" applyAlignment="1" applyProtection="1">
      <alignment vertical="center" wrapText="1" readingOrder="2"/>
    </xf>
    <xf numFmtId="0" fontId="22" fillId="3" borderId="60" xfId="3" applyFont="1" applyFill="1" applyBorder="1" applyAlignment="1" applyProtection="1">
      <alignment horizontal="center" vertical="center" readingOrder="2"/>
    </xf>
    <xf numFmtId="0" fontId="18" fillId="2" borderId="61" xfId="3" applyFont="1" applyFill="1" applyBorder="1" applyAlignment="1" applyProtection="1">
      <alignment horizontal="center" vertical="center" readingOrder="2"/>
    </xf>
    <xf numFmtId="0" fontId="18" fillId="2" borderId="1" xfId="3" applyFont="1" applyFill="1" applyBorder="1" applyAlignment="1" applyProtection="1">
      <alignment horizontal="center" vertical="center" readingOrder="2"/>
    </xf>
    <xf numFmtId="0" fontId="18" fillId="2" borderId="62" xfId="3" applyFont="1" applyFill="1" applyBorder="1" applyAlignment="1" applyProtection="1">
      <alignment horizontal="center" vertical="center" readingOrder="2"/>
    </xf>
    <xf numFmtId="0" fontId="18" fillId="2" borderId="63" xfId="3" applyFont="1" applyFill="1" applyBorder="1" applyAlignment="1" applyProtection="1">
      <alignment horizontal="center" vertical="center" readingOrder="2"/>
    </xf>
    <xf numFmtId="0" fontId="18" fillId="2" borderId="64" xfId="3" applyFont="1" applyFill="1" applyBorder="1" applyAlignment="1" applyProtection="1">
      <alignment horizontal="center" vertical="center" readingOrder="2"/>
    </xf>
    <xf numFmtId="0" fontId="18" fillId="2" borderId="65" xfId="3" applyFont="1" applyFill="1" applyBorder="1" applyAlignment="1" applyProtection="1">
      <alignment horizontal="center" vertical="center" readingOrder="2"/>
    </xf>
    <xf numFmtId="0" fontId="18" fillId="2" borderId="66" xfId="3" applyFont="1" applyFill="1" applyBorder="1" applyAlignment="1" applyProtection="1">
      <alignment horizontal="center" vertical="center" readingOrder="2"/>
    </xf>
    <xf numFmtId="0" fontId="18" fillId="2" borderId="67" xfId="3" applyFont="1" applyFill="1" applyBorder="1" applyAlignment="1" applyProtection="1">
      <alignment horizontal="center" vertical="center" readingOrder="2"/>
    </xf>
    <xf numFmtId="0" fontId="51" fillId="0" borderId="0" xfId="1" applyFont="1" applyAlignment="1">
      <alignment vertical="center"/>
    </xf>
    <xf numFmtId="0" fontId="0" fillId="0" borderId="0" xfId="0" applyAlignment="1">
      <alignment vertical="top"/>
    </xf>
    <xf numFmtId="0" fontId="3" fillId="0" borderId="0" xfId="4" applyAlignment="1">
      <alignment horizontal="right" vertical="center" wrapText="1"/>
    </xf>
    <xf numFmtId="0" fontId="53" fillId="0" borderId="60" xfId="3" applyFont="1" applyFill="1" applyBorder="1" applyAlignment="1" applyProtection="1">
      <alignment horizontal="center" vertical="center" wrapText="1" readingOrder="2"/>
      <protection locked="0"/>
    </xf>
    <xf numFmtId="0" fontId="22" fillId="0" borderId="60" xfId="3" applyFont="1" applyFill="1" applyBorder="1" applyAlignment="1" applyProtection="1">
      <alignment horizontal="center" vertical="center" readingOrder="2"/>
      <protection locked="0"/>
    </xf>
    <xf numFmtId="0" fontId="53" fillId="0" borderId="60" xfId="3" applyFont="1" applyFill="1" applyBorder="1" applyAlignment="1" applyProtection="1">
      <alignment horizontal="right" vertical="center" wrapText="1" readingOrder="2"/>
      <protection locked="0"/>
    </xf>
    <xf numFmtId="1" fontId="50" fillId="0" borderId="60" xfId="3" applyNumberFormat="1" applyFont="1" applyFill="1" applyBorder="1" applyAlignment="1" applyProtection="1">
      <alignment horizontal="center" vertical="center" readingOrder="1"/>
      <protection locked="0"/>
    </xf>
    <xf numFmtId="0" fontId="53" fillId="0" borderId="60" xfId="3" applyFont="1" applyFill="1" applyBorder="1" applyAlignment="1" applyProtection="1">
      <alignment horizontal="center" vertical="center" readingOrder="2"/>
      <protection locked="0"/>
    </xf>
    <xf numFmtId="1" fontId="53" fillId="0" borderId="60" xfId="3" applyNumberFormat="1" applyFont="1" applyFill="1" applyBorder="1" applyAlignment="1" applyProtection="1">
      <alignment horizontal="center" vertical="center" readingOrder="2"/>
      <protection locked="0"/>
    </xf>
    <xf numFmtId="0" fontId="59" fillId="4" borderId="0" xfId="3" applyFont="1" applyFill="1" applyBorder="1" applyAlignment="1" applyProtection="1">
      <alignment horizontal="center" vertical="center" wrapText="1" readingOrder="2"/>
    </xf>
    <xf numFmtId="0" fontId="59" fillId="4" borderId="0" xfId="3" applyFont="1" applyFill="1" applyBorder="1" applyAlignment="1" applyProtection="1">
      <alignment horizontal="center" wrapText="1" readingOrder="2"/>
    </xf>
    <xf numFmtId="0" fontId="59" fillId="4" borderId="0" xfId="3" applyFont="1" applyFill="1" applyBorder="1" applyAlignment="1" applyProtection="1">
      <alignment horizontal="center" vertical="center" readingOrder="2"/>
    </xf>
    <xf numFmtId="0" fontId="22" fillId="4" borderId="0" xfId="3" applyFont="1" applyFill="1" applyBorder="1" applyAlignment="1" applyProtection="1">
      <alignment horizontal="center" readingOrder="2"/>
    </xf>
    <xf numFmtId="0" fontId="47" fillId="4" borderId="0" xfId="3" applyFont="1" applyFill="1" applyBorder="1" applyAlignment="1" applyProtection="1">
      <alignment horizontal="center" vertical="center" wrapText="1" readingOrder="2"/>
    </xf>
    <xf numFmtId="0" fontId="22" fillId="3" borderId="0" xfId="3" applyFont="1" applyFill="1" applyBorder="1" applyAlignment="1" applyProtection="1">
      <alignment horizontal="center" vertical="center" readingOrder="2"/>
    </xf>
    <xf numFmtId="0" fontId="48" fillId="0" borderId="0" xfId="3" applyFont="1" applyFill="1" applyBorder="1" applyAlignment="1" applyProtection="1">
      <alignment horizontal="center" vertical="center" readingOrder="1"/>
      <protection locked="0"/>
    </xf>
    <xf numFmtId="0" fontId="22" fillId="3" borderId="0" xfId="3" applyFont="1" applyFill="1" applyBorder="1" applyAlignment="1" applyProtection="1">
      <alignment horizontal="left" vertical="center" readingOrder="2"/>
    </xf>
    <xf numFmtId="0" fontId="26" fillId="0" borderId="0" xfId="3" applyFont="1" applyFill="1" applyBorder="1" applyAlignment="1" applyProtection="1">
      <alignment horizontal="center" vertical="center" readingOrder="2"/>
    </xf>
    <xf numFmtId="0" fontId="25" fillId="3" borderId="0" xfId="3" applyFont="1" applyFill="1" applyBorder="1" applyAlignment="1" applyProtection="1">
      <alignment horizontal="center" vertical="center" readingOrder="2"/>
    </xf>
    <xf numFmtId="0" fontId="33" fillId="3" borderId="0" xfId="3" applyFont="1" applyFill="1" applyBorder="1" applyAlignment="1" applyProtection="1">
      <alignment horizontal="center" vertical="center" readingOrder="2"/>
    </xf>
    <xf numFmtId="0" fontId="52" fillId="0" borderId="21" xfId="3" applyFont="1" applyFill="1" applyBorder="1" applyAlignment="1" applyProtection="1">
      <alignment horizontal="center" vertical="center" wrapText="1" readingOrder="2"/>
      <protection locked="0"/>
    </xf>
    <xf numFmtId="0" fontId="52" fillId="0" borderId="22" xfId="3" applyFont="1" applyFill="1" applyBorder="1" applyAlignment="1" applyProtection="1">
      <alignment horizontal="center" vertical="center" wrapText="1" readingOrder="2"/>
      <protection locked="0"/>
    </xf>
    <xf numFmtId="0" fontId="52" fillId="0" borderId="23" xfId="3" applyFont="1" applyFill="1" applyBorder="1" applyAlignment="1" applyProtection="1">
      <alignment horizontal="center" vertical="center" wrapText="1" readingOrder="2"/>
      <protection locked="0"/>
    </xf>
    <xf numFmtId="0" fontId="33" fillId="3" borderId="32" xfId="3" applyFont="1" applyFill="1" applyBorder="1" applyAlignment="1" applyProtection="1">
      <alignment horizontal="center" vertical="center" readingOrder="2"/>
    </xf>
    <xf numFmtId="0" fontId="29" fillId="0" borderId="21" xfId="6" applyFill="1" applyBorder="1" applyAlignment="1" applyProtection="1">
      <alignment horizontal="center" vertical="center" wrapText="1" readingOrder="2"/>
      <protection locked="0"/>
    </xf>
    <xf numFmtId="0" fontId="50" fillId="3" borderId="0" xfId="3" applyFont="1" applyFill="1" applyBorder="1" applyAlignment="1" applyProtection="1">
      <alignment horizontal="center" vertical="center" readingOrder="2"/>
      <protection locked="0"/>
    </xf>
    <xf numFmtId="0" fontId="35" fillId="0" borderId="0" xfId="1" applyFont="1" applyAlignment="1">
      <alignment horizontal="center"/>
    </xf>
    <xf numFmtId="0" fontId="35" fillId="0" borderId="0" xfId="1" applyFont="1" applyAlignment="1" applyProtection="1">
      <alignment horizontal="center" vertical="center"/>
      <protection locked="0"/>
    </xf>
    <xf numFmtId="0" fontId="35" fillId="0" borderId="0" xfId="1" applyFont="1" applyAlignment="1">
      <alignment horizontal="center" vertical="center"/>
    </xf>
    <xf numFmtId="0" fontId="34" fillId="4" borderId="10" xfId="3" applyFont="1" applyFill="1" applyBorder="1" applyAlignment="1" applyProtection="1">
      <alignment horizontal="center" vertical="center" wrapText="1" readingOrder="2"/>
    </xf>
    <xf numFmtId="0" fontId="34" fillId="4" borderId="11" xfId="3" applyFont="1" applyFill="1" applyBorder="1" applyAlignment="1" applyProtection="1">
      <alignment horizontal="center" vertical="center" wrapText="1" readingOrder="2"/>
    </xf>
    <xf numFmtId="0" fontId="34" fillId="4" borderId="12" xfId="3" applyFont="1" applyFill="1" applyBorder="1" applyAlignment="1" applyProtection="1">
      <alignment horizontal="center" vertical="center" wrapText="1" readingOrder="2"/>
    </xf>
    <xf numFmtId="0" fontId="34" fillId="4" borderId="13" xfId="3" applyFont="1" applyFill="1" applyBorder="1" applyAlignment="1" applyProtection="1">
      <alignment horizontal="center" vertical="center" wrapText="1" readingOrder="2"/>
    </xf>
    <xf numFmtId="0" fontId="34" fillId="4" borderId="0" xfId="3" applyFont="1" applyFill="1" applyBorder="1" applyAlignment="1" applyProtection="1">
      <alignment horizontal="center" vertical="center" wrapText="1" readingOrder="2"/>
    </xf>
    <xf numFmtId="0" fontId="34" fillId="4" borderId="14" xfId="3" applyFont="1" applyFill="1" applyBorder="1" applyAlignment="1" applyProtection="1">
      <alignment horizontal="center" vertical="center" wrapText="1" readingOrder="2"/>
    </xf>
    <xf numFmtId="0" fontId="34" fillId="4" borderId="15" xfId="3" applyFont="1" applyFill="1" applyBorder="1" applyAlignment="1" applyProtection="1">
      <alignment horizontal="center" vertical="center" wrapText="1" readingOrder="2"/>
    </xf>
    <xf numFmtId="0" fontId="34" fillId="4" borderId="16" xfId="3" applyFont="1" applyFill="1" applyBorder="1" applyAlignment="1" applyProtection="1">
      <alignment horizontal="center" vertical="center" wrapText="1" readingOrder="2"/>
    </xf>
    <xf numFmtId="0" fontId="34" fillId="4" borderId="17" xfId="3" applyFont="1" applyFill="1" applyBorder="1" applyAlignment="1" applyProtection="1">
      <alignment horizontal="center" vertical="center" wrapText="1" readingOrder="2"/>
    </xf>
    <xf numFmtId="0" fontId="50" fillId="3" borderId="0" xfId="3" applyFont="1" applyFill="1" applyBorder="1" applyAlignment="1" applyProtection="1">
      <alignment horizontal="center" vertical="center" readingOrder="1"/>
    </xf>
    <xf numFmtId="0" fontId="22" fillId="3" borderId="0" xfId="3" applyFont="1" applyFill="1" applyBorder="1" applyAlignment="1" applyProtection="1">
      <alignment horizontal="right" vertical="center" readingOrder="2"/>
    </xf>
    <xf numFmtId="0" fontId="21" fillId="4" borderId="18" xfId="3" applyFont="1" applyFill="1" applyBorder="1" applyAlignment="1" applyProtection="1">
      <alignment horizontal="center" vertical="center" wrapText="1" readingOrder="2"/>
    </xf>
    <xf numFmtId="0" fontId="21" fillId="4" borderId="19" xfId="3" applyFont="1" applyFill="1" applyBorder="1" applyAlignment="1" applyProtection="1">
      <alignment horizontal="center" vertical="center" wrapText="1" readingOrder="2"/>
    </xf>
    <xf numFmtId="0" fontId="21" fillId="4" borderId="20" xfId="3" applyFont="1" applyFill="1" applyBorder="1" applyAlignment="1" applyProtection="1">
      <alignment horizontal="center" vertical="center" wrapText="1" readingOrder="2"/>
    </xf>
    <xf numFmtId="0" fontId="20" fillId="4" borderId="18" xfId="3" applyFont="1" applyFill="1" applyBorder="1" applyAlignment="1" applyProtection="1">
      <alignment horizontal="center" vertical="center" readingOrder="2"/>
    </xf>
    <xf numFmtId="0" fontId="20" fillId="4" borderId="19" xfId="3" applyFont="1" applyFill="1" applyBorder="1" applyAlignment="1" applyProtection="1">
      <alignment horizontal="center" vertical="center" readingOrder="2"/>
    </xf>
    <xf numFmtId="0" fontId="20" fillId="4" borderId="20" xfId="3" applyFont="1" applyFill="1" applyBorder="1" applyAlignment="1" applyProtection="1">
      <alignment horizontal="center" vertical="center" readingOrder="2"/>
    </xf>
    <xf numFmtId="0" fontId="50" fillId="3" borderId="0" xfId="3" applyFont="1" applyFill="1" applyBorder="1" applyAlignment="1" applyProtection="1">
      <alignment horizontal="center" vertical="center" readingOrder="1"/>
      <protection locked="0"/>
    </xf>
    <xf numFmtId="0" fontId="21" fillId="7" borderId="47" xfId="3" applyFont="1" applyFill="1" applyBorder="1" applyAlignment="1" applyProtection="1">
      <alignment horizontal="center" vertical="center" readingOrder="2"/>
    </xf>
    <xf numFmtId="0" fontId="21" fillId="7" borderId="48" xfId="3" applyFont="1" applyFill="1" applyBorder="1" applyAlignment="1" applyProtection="1">
      <alignment horizontal="center" vertical="center" readingOrder="2"/>
    </xf>
    <xf numFmtId="0" fontId="21" fillId="7" borderId="49" xfId="3" applyFont="1" applyFill="1" applyBorder="1" applyAlignment="1" applyProtection="1">
      <alignment horizontal="center" vertical="center" readingOrder="2"/>
    </xf>
    <xf numFmtId="0" fontId="65" fillId="0" borderId="21" xfId="3" applyFont="1" applyFill="1" applyBorder="1" applyAlignment="1" applyProtection="1">
      <alignment horizontal="center" vertical="center" wrapText="1" readingOrder="2"/>
      <protection locked="0"/>
    </xf>
    <xf numFmtId="0" fontId="65" fillId="0" borderId="22" xfId="3" applyFont="1" applyFill="1" applyBorder="1" applyAlignment="1" applyProtection="1">
      <alignment horizontal="center" vertical="center" wrapText="1" readingOrder="2"/>
      <protection locked="0"/>
    </xf>
    <xf numFmtId="0" fontId="65" fillId="0" borderId="23" xfId="3" applyFont="1" applyFill="1" applyBorder="1" applyAlignment="1" applyProtection="1">
      <alignment horizontal="center" vertical="center" wrapText="1" readingOrder="2"/>
      <protection locked="0"/>
    </xf>
    <xf numFmtId="0" fontId="34" fillId="3" borderId="0" xfId="3" applyFont="1" applyFill="1" applyBorder="1" applyAlignment="1" applyProtection="1">
      <alignment horizontal="center" vertical="center" readingOrder="2"/>
    </xf>
    <xf numFmtId="0" fontId="44" fillId="3" borderId="0" xfId="3" applyFont="1" applyFill="1" applyBorder="1" applyAlignment="1" applyProtection="1">
      <alignment horizontal="center" vertical="center" readingOrder="2"/>
    </xf>
    <xf numFmtId="0" fontId="45" fillId="2" borderId="8" xfId="3" applyFont="1" applyFill="1" applyBorder="1" applyAlignment="1" applyProtection="1">
      <alignment horizontal="center" vertical="center" readingOrder="2"/>
    </xf>
    <xf numFmtId="0" fontId="31" fillId="2" borderId="0" xfId="3" applyFont="1" applyFill="1" applyBorder="1" applyAlignment="1" applyProtection="1">
      <alignment horizontal="center" vertical="top" readingOrder="2"/>
    </xf>
    <xf numFmtId="0" fontId="39" fillId="0" borderId="0" xfId="3" applyFont="1" applyFill="1" applyBorder="1" applyAlignment="1" applyProtection="1">
      <alignment horizontal="right" vertical="top" wrapText="1" indent="1" readingOrder="2"/>
    </xf>
    <xf numFmtId="0" fontId="63" fillId="0" borderId="0" xfId="3" applyFont="1" applyFill="1" applyBorder="1" applyAlignment="1" applyProtection="1">
      <alignment horizontal="right" vertical="top" wrapText="1" indent="1" readingOrder="2"/>
      <protection locked="0"/>
    </xf>
    <xf numFmtId="1" fontId="34" fillId="4" borderId="0" xfId="3" applyNumberFormat="1" applyFont="1" applyFill="1" applyBorder="1" applyAlignment="1" applyProtection="1">
      <alignment horizontal="center" vertical="center" readingOrder="2"/>
    </xf>
    <xf numFmtId="166" fontId="63" fillId="0" borderId="0" xfId="0" applyNumberFormat="1" applyFont="1" applyAlignment="1">
      <alignment horizontal="center" vertical="center" wrapText="1" readingOrder="2"/>
    </xf>
    <xf numFmtId="0" fontId="21" fillId="3" borderId="0" xfId="3" applyFont="1" applyFill="1" applyBorder="1" applyAlignment="1" applyProtection="1">
      <alignment horizontal="center" vertical="center" readingOrder="2"/>
    </xf>
    <xf numFmtId="0" fontId="63" fillId="0" borderId="0" xfId="3" applyFont="1" applyFill="1" applyBorder="1" applyAlignment="1" applyProtection="1">
      <alignment horizontal="center" vertical="center" wrapText="1" readingOrder="2"/>
    </xf>
    <xf numFmtId="0" fontId="38" fillId="2" borderId="0" xfId="3" applyFont="1" applyFill="1" applyBorder="1" applyAlignment="1" applyProtection="1">
      <alignment horizontal="center" vertical="top" readingOrder="2"/>
    </xf>
    <xf numFmtId="0" fontId="64" fillId="6" borderId="0" xfId="3" applyFont="1" applyFill="1" applyBorder="1" applyAlignment="1" applyProtection="1">
      <alignment horizontal="center" vertical="center" readingOrder="2"/>
    </xf>
    <xf numFmtId="0" fontId="64" fillId="6" borderId="0" xfId="3" applyFont="1" applyFill="1" applyBorder="1" applyAlignment="1" applyProtection="1">
      <alignment horizontal="center" vertical="center" readingOrder="2"/>
      <protection locked="0"/>
    </xf>
    <xf numFmtId="0" fontId="63" fillId="0" borderId="0" xfId="3" applyFont="1" applyFill="1" applyBorder="1" applyAlignment="1" applyProtection="1">
      <alignment horizontal="center" vertical="center" wrapText="1" readingOrder="2"/>
      <protection locked="0"/>
    </xf>
    <xf numFmtId="0" fontId="69" fillId="3" borderId="29" xfId="3" applyFont="1" applyFill="1" applyBorder="1" applyAlignment="1" applyProtection="1">
      <alignment horizontal="center" vertical="center" readingOrder="2"/>
    </xf>
    <xf numFmtId="0" fontId="21" fillId="7" borderId="50" xfId="3" applyFont="1" applyFill="1" applyBorder="1" applyAlignment="1" applyProtection="1">
      <alignment horizontal="center" vertical="center" wrapText="1" readingOrder="2"/>
    </xf>
    <xf numFmtId="0" fontId="21" fillId="7" borderId="51" xfId="3" applyFont="1" applyFill="1" applyBorder="1" applyAlignment="1" applyProtection="1">
      <alignment horizontal="center" vertical="center" wrapText="1" readingOrder="2"/>
    </xf>
    <xf numFmtId="0" fontId="21" fillId="7" borderId="52" xfId="3" applyFont="1" applyFill="1" applyBorder="1" applyAlignment="1" applyProtection="1">
      <alignment horizontal="center" vertical="center" wrapText="1" readingOrder="2"/>
    </xf>
    <xf numFmtId="0" fontId="34" fillId="4" borderId="0" xfId="3" applyFont="1" applyFill="1" applyBorder="1" applyAlignment="1" applyProtection="1">
      <alignment horizontal="center" vertical="center" readingOrder="2"/>
    </xf>
    <xf numFmtId="0" fontId="21" fillId="4" borderId="0" xfId="3" applyFont="1" applyFill="1" applyBorder="1" applyAlignment="1" applyProtection="1">
      <alignment horizontal="center" vertical="center" readingOrder="2"/>
    </xf>
    <xf numFmtId="0" fontId="54" fillId="0" borderId="0" xfId="6" applyFont="1" applyFill="1" applyBorder="1" applyAlignment="1" applyProtection="1">
      <alignment horizontal="center" vertical="center" wrapText="1" readingOrder="2"/>
      <protection locked="0"/>
    </xf>
    <xf numFmtId="0" fontId="63" fillId="0" borderId="0" xfId="6" applyFont="1" applyFill="1" applyBorder="1" applyAlignment="1" applyProtection="1">
      <alignment horizontal="left" vertical="center" indent="1" readingOrder="2"/>
    </xf>
    <xf numFmtId="1" fontId="24" fillId="7" borderId="0" xfId="3" applyNumberFormat="1" applyFont="1" applyFill="1" applyBorder="1" applyAlignment="1" applyProtection="1">
      <alignment horizontal="center" vertical="center" readingOrder="2"/>
    </xf>
    <xf numFmtId="0" fontId="24" fillId="7" borderId="0" xfId="3" applyFont="1" applyFill="1" applyBorder="1" applyAlignment="1" applyProtection="1">
      <alignment horizontal="center" vertical="center" readingOrder="2"/>
    </xf>
    <xf numFmtId="0" fontId="40" fillId="7" borderId="0" xfId="3" applyFont="1" applyFill="1" applyBorder="1" applyAlignment="1" applyProtection="1">
      <alignment horizontal="center" vertical="center" wrapText="1" readingOrder="2"/>
    </xf>
    <xf numFmtId="0" fontId="21" fillId="7" borderId="0" xfId="3" applyFont="1" applyFill="1" applyBorder="1" applyAlignment="1" applyProtection="1">
      <alignment horizontal="center" vertical="center" wrapText="1" readingOrder="2"/>
    </xf>
    <xf numFmtId="0" fontId="50" fillId="0" borderId="0" xfId="3" applyFont="1" applyFill="1" applyBorder="1" applyAlignment="1" applyProtection="1">
      <alignment horizontal="center" vertical="center" readingOrder="2"/>
      <protection locked="0"/>
    </xf>
    <xf numFmtId="0" fontId="66" fillId="0" borderId="0" xfId="6" applyFont="1" applyFill="1" applyBorder="1" applyAlignment="1" applyProtection="1">
      <alignment horizontal="center" vertical="center" readingOrder="2"/>
      <protection locked="0"/>
    </xf>
    <xf numFmtId="0" fontId="46" fillId="4" borderId="0" xfId="6" applyFont="1" applyFill="1" applyBorder="1" applyAlignment="1" applyProtection="1">
      <alignment horizontal="center" vertical="center" wrapText="1" readingOrder="2"/>
    </xf>
    <xf numFmtId="0" fontId="56" fillId="7" borderId="56" xfId="6" applyFont="1" applyFill="1" applyBorder="1" applyAlignment="1" applyProtection="1">
      <alignment horizontal="center" vertical="center" wrapText="1" readingOrder="2"/>
    </xf>
    <xf numFmtId="0" fontId="56" fillId="7" borderId="57" xfId="6" applyFont="1" applyFill="1" applyBorder="1" applyAlignment="1" applyProtection="1">
      <alignment horizontal="center" vertical="center" wrapText="1" readingOrder="2"/>
    </xf>
    <xf numFmtId="0" fontId="56" fillId="7" borderId="58" xfId="6" applyFont="1" applyFill="1" applyBorder="1" applyAlignment="1" applyProtection="1">
      <alignment horizontal="center" vertical="center" wrapText="1" readingOrder="2"/>
    </xf>
    <xf numFmtId="0" fontId="50" fillId="0" borderId="0" xfId="3" applyFont="1" applyFill="1" applyBorder="1" applyAlignment="1" applyProtection="1">
      <alignment horizontal="center" vertical="center" readingOrder="2"/>
    </xf>
    <xf numFmtId="0" fontId="66" fillId="0" borderId="0" xfId="6" applyFont="1" applyFill="1" applyBorder="1" applyAlignment="1" applyProtection="1">
      <alignment horizontal="center" vertical="center" readingOrder="2"/>
    </xf>
    <xf numFmtId="0" fontId="54" fillId="0" borderId="0" xfId="6" applyFont="1" applyFill="1" applyBorder="1" applyAlignment="1" applyProtection="1">
      <alignment horizontal="center" vertical="center" wrapText="1" readingOrder="2"/>
    </xf>
    <xf numFmtId="0" fontId="51" fillId="0" borderId="0" xfId="1" applyFont="1" applyAlignment="1">
      <alignment horizontal="center" vertical="center"/>
    </xf>
    <xf numFmtId="0" fontId="52" fillId="0" borderId="21" xfId="3" applyFont="1" applyFill="1" applyBorder="1" applyAlignment="1" applyProtection="1">
      <alignment horizontal="center" vertical="center" wrapText="1" readingOrder="2"/>
    </xf>
    <xf numFmtId="0" fontId="52" fillId="0" borderId="22" xfId="3" applyFont="1" applyFill="1" applyBorder="1" applyAlignment="1" applyProtection="1">
      <alignment horizontal="center" vertical="center" wrapText="1" readingOrder="2"/>
    </xf>
    <xf numFmtId="0" fontId="52" fillId="0" borderId="23" xfId="3" applyFont="1" applyFill="1" applyBorder="1" applyAlignment="1" applyProtection="1">
      <alignment horizontal="center" vertical="center" wrapText="1" readingOrder="2"/>
    </xf>
    <xf numFmtId="0" fontId="50" fillId="3" borderId="0" xfId="3" applyFont="1" applyFill="1" applyBorder="1" applyAlignment="1" applyProtection="1">
      <alignment horizontal="center" vertical="center" readingOrder="2"/>
    </xf>
    <xf numFmtId="0" fontId="48" fillId="0" borderId="0" xfId="3" applyFont="1" applyFill="1" applyBorder="1" applyAlignment="1" applyProtection="1">
      <alignment horizontal="center" vertical="center" readingOrder="1"/>
    </xf>
    <xf numFmtId="0" fontId="55" fillId="2" borderId="29" xfId="3" applyFont="1" applyFill="1" applyBorder="1" applyAlignment="1" applyProtection="1">
      <alignment horizontal="center" vertical="top" readingOrder="2"/>
    </xf>
    <xf numFmtId="0" fontId="50" fillId="0" borderId="0" xfId="3" applyFont="1" applyFill="1" applyBorder="1" applyAlignment="1" applyProtection="1">
      <alignment horizontal="center" vertical="center" wrapText="1" readingOrder="2"/>
    </xf>
    <xf numFmtId="0" fontId="22" fillId="0" borderId="0" xfId="3" applyFont="1" applyFill="1" applyBorder="1" applyAlignment="1" applyProtection="1">
      <alignment horizontal="center" vertical="center" readingOrder="2"/>
    </xf>
    <xf numFmtId="0" fontId="53" fillId="0" borderId="0" xfId="3" applyFont="1" applyFill="1" applyBorder="1" applyAlignment="1" applyProtection="1">
      <alignment horizontal="right" vertical="center" wrapText="1" readingOrder="2"/>
    </xf>
    <xf numFmtId="0" fontId="53" fillId="0" borderId="0" xfId="3" applyFont="1" applyFill="1" applyBorder="1" applyAlignment="1" applyProtection="1">
      <alignment horizontal="center" vertical="center" wrapText="1" readingOrder="2"/>
    </xf>
    <xf numFmtId="1" fontId="50" fillId="0" borderId="0" xfId="3" applyNumberFormat="1" applyFont="1" applyFill="1" applyBorder="1" applyAlignment="1" applyProtection="1">
      <alignment horizontal="center" vertical="center" readingOrder="1"/>
    </xf>
    <xf numFmtId="0" fontId="53" fillId="0" borderId="0" xfId="3" applyFont="1" applyFill="1" applyBorder="1" applyAlignment="1" applyProtection="1">
      <alignment horizontal="center" vertical="center" readingOrder="2"/>
    </xf>
    <xf numFmtId="1" fontId="53" fillId="0" borderId="0" xfId="3" applyNumberFormat="1" applyFont="1" applyFill="1" applyBorder="1" applyAlignment="1" applyProtection="1">
      <alignment horizontal="center" vertical="center" readingOrder="2"/>
    </xf>
    <xf numFmtId="0" fontId="21" fillId="3" borderId="32" xfId="3" applyFont="1" applyFill="1" applyBorder="1" applyAlignment="1" applyProtection="1">
      <alignment horizontal="center" vertical="center" readingOrder="2"/>
    </xf>
    <xf numFmtId="0" fontId="63" fillId="0" borderId="21" xfId="3" applyFont="1" applyFill="1" applyBorder="1" applyAlignment="1" applyProtection="1">
      <alignment horizontal="center" vertical="center" readingOrder="2"/>
    </xf>
    <xf numFmtId="0" fontId="63" fillId="0" borderId="22" xfId="3" applyFont="1" applyFill="1" applyBorder="1" applyAlignment="1" applyProtection="1">
      <alignment horizontal="center" vertical="center" readingOrder="2"/>
    </xf>
    <xf numFmtId="0" fontId="63" fillId="0" borderId="23" xfId="3" applyFont="1" applyFill="1" applyBorder="1" applyAlignment="1" applyProtection="1">
      <alignment horizontal="center" vertical="center" readingOrder="2"/>
    </xf>
    <xf numFmtId="0" fontId="68" fillId="0" borderId="0" xfId="0" applyFont="1" applyAlignment="1">
      <alignment horizontal="center" vertical="center"/>
    </xf>
    <xf numFmtId="0" fontId="61" fillId="7" borderId="53" xfId="4" applyFont="1" applyFill="1" applyBorder="1" applyAlignment="1">
      <alignment horizontal="right" vertical="center" wrapText="1" indent="1" readingOrder="2"/>
    </xf>
    <xf numFmtId="0" fontId="61" fillId="7" borderId="54" xfId="4" applyFont="1" applyFill="1" applyBorder="1" applyAlignment="1">
      <alignment horizontal="right" vertical="center" wrapText="1" indent="1" readingOrder="2"/>
    </xf>
    <xf numFmtId="0" fontId="61" fillId="7" borderId="55" xfId="4" applyFont="1" applyFill="1" applyBorder="1" applyAlignment="1">
      <alignment horizontal="right" vertical="center" wrapText="1" indent="1" readingOrder="2"/>
    </xf>
    <xf numFmtId="0" fontId="49" fillId="0" borderId="21" xfId="3" applyFont="1" applyFill="1" applyBorder="1" applyAlignment="1" applyProtection="1">
      <alignment horizontal="center" vertical="center" readingOrder="2"/>
    </xf>
    <xf numFmtId="0" fontId="49" fillId="0" borderId="22" xfId="3" applyFont="1" applyFill="1" applyBorder="1" applyAlignment="1" applyProtection="1">
      <alignment horizontal="center" vertical="center" readingOrder="2"/>
    </xf>
    <xf numFmtId="0" fontId="49" fillId="0" borderId="23" xfId="3" applyFont="1" applyFill="1" applyBorder="1" applyAlignment="1" applyProtection="1">
      <alignment horizontal="center" vertical="center" readingOrder="2"/>
    </xf>
    <xf numFmtId="0" fontId="52" fillId="0" borderId="0" xfId="3" applyFont="1" applyFill="1" applyBorder="1" applyAlignment="1" applyProtection="1">
      <alignment horizontal="right" vertical="center" wrapText="1" indent="1" readingOrder="2"/>
    </xf>
    <xf numFmtId="0" fontId="70" fillId="0" borderId="53" xfId="0" applyFont="1" applyBorder="1" applyAlignment="1">
      <alignment horizontal="right" vertical="top" wrapText="1"/>
    </xf>
    <xf numFmtId="0" fontId="70" fillId="0" borderId="54" xfId="0" applyFont="1" applyBorder="1" applyAlignment="1">
      <alignment horizontal="right" vertical="top"/>
    </xf>
    <xf numFmtId="0" fontId="70" fillId="0" borderId="55" xfId="0" applyFont="1" applyBorder="1" applyAlignment="1">
      <alignment horizontal="right" vertical="top"/>
    </xf>
  </cellXfs>
  <cellStyles count="7">
    <cellStyle name="Hyperlink" xfId="6" builtinId="8"/>
    <cellStyle name="Normal" xfId="0" builtinId="0"/>
    <cellStyle name="ارتباط تشعبي 2" xfId="3"/>
    <cellStyle name="عادي 2" xfId="4"/>
    <cellStyle name="عادي 2 2 2" xfId="2"/>
    <cellStyle name="عادي 4" xfId="1"/>
    <cellStyle name="عادي 6" xfId="5"/>
  </cellStyles>
  <dxfs count="10">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colors>
    <mruColors>
      <color rgb="FF0000FF"/>
      <color rgb="FF616365"/>
      <color rgb="FF25AFA5"/>
      <color rgb="FF0563C1"/>
      <color rgb="FF3B7D98"/>
      <color rgb="FF50B4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checked="Checked" fmlaLink="$AAI$31"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fmlaLink="$AAI$31"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hyperlink" Target="https://tvtc.gov.sa/ar/Departments/tvtcdepartments/Rayat/Pages/E-Services.aspx" TargetMode="External"/><Relationship Id="rId3" Type="http://schemas.openxmlformats.org/officeDocument/2006/relationships/image" Target="../media/image2.png"/><Relationship Id="rId7" Type="http://schemas.openxmlformats.org/officeDocument/2006/relationships/hyperlink" Target="https://maztegani.tvtc.gov.sa/offers"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doroob.sa/ar/" TargetMode="External"/><Relationship Id="rId11" Type="http://schemas.openxmlformats.org/officeDocument/2006/relationships/hyperlink" Target="https://www.office.com/" TargetMode="External"/><Relationship Id="rId5" Type="http://schemas.openxmlformats.org/officeDocument/2006/relationships/hyperlink" Target="http://elearning.edu.sa/OLib/" TargetMode="External"/><Relationship Id="rId10" Type="http://schemas.openxmlformats.org/officeDocument/2006/relationships/hyperlink" Target="https://tvtc.gov.sa/ar/Departments/tvtcdepartments/Rayat/Documents/%D8%AF%D9%84%D9%8A%D9%84%20%D8%A7%D9%84%D9%85%D8%AA%D8%AF%D8%B1%D8%A8%20%D8%A7%D9%84%D8%A7%D9%84%D9%83%D8%AA%D8%B1%D9%88%D9%86%D9%8A%20%D8%A8%D8%A7%D9%84%D8%B1%D8%A7%D9%88%D8%A7%D8%A8%D8%B7%20%D9%84%D9%84%D8%B9%D8%A7%D9%85%201444%20%D9%87%D9%80.pdf" TargetMode="External"/><Relationship Id="rId4" Type="http://schemas.openxmlformats.org/officeDocument/2006/relationships/hyperlink" Target="https://mttvtcedu-my.sharepoint.com/:b:/r/personal/tadreeb_tvtc_gov_sa/Documents/%D8%A8%D9%88%D8%A7%D8%A8%D8%A9%20%D8%A7%D9%84%D9%85%D8%B9%D8%B1%D9%81%D8%A9%20%D9%84%D8%B9%D8%B6%D9%88%20%D9%87%D9%8A%D8%A6%D8%A9%20%D8%A7%D9%84%D8%AA%D8%AF%D8%B1%D9%8A%D8%A8/%D8%A7%D9%84%D8%A3%D8%AF%D9%84%D8%A9%20%D8%A7%D9%84%D8%AA%D9%86%D8%B8%D9%8A%D9%85%D9%8A%D8%A9/%D8%B7%D8%B1%D8%A7%D8%A6%D9%82%20%D9%88%D9%88%D8%B3%D8%A7%D8%A6%D9%84%20%D8%A7%D9%84%D8%AA%D8%AF%D8%B1%D9%8A%D8%A8%20-%20%D8%A7%D9%84%D8%A5%D8%B5%D8%AF%D8%A7%D8%B1%20%D8%A7%D9%84%D8%A3%D9%88%D9%84%201444.pdf?csf=1&amp;web=1&amp;e=gOAY7o" TargetMode="External"/><Relationship Id="rId9" Type="http://schemas.openxmlformats.org/officeDocument/2006/relationships/hyperlink" Target="https://cdd.tvtc.gov.sa/category/16"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mttvtcedu-my.sharepoint.com/:b:/r/personal/tadreeb_tvtc_gov_sa/Documents/%D8%A8%D9%88%D8%A7%D8%A8%D8%A9%20%D8%A7%D9%84%D9%85%D8%B9%D8%B1%D9%81%D8%A9%20%D9%84%D8%B9%D8%B6%D9%88%20%D9%87%D9%8A%D8%A6%D8%A9%20%D8%A7%D9%84%D8%AA%D8%AF%D8%B1%D9%8A%D8%A8/%D8%A7%D9%84%D8%A3%D8%AF%D9%84%D8%A9%20%D8%A7%D9%84%D8%AA%D9%86%D8%B8%D9%8A%D9%85%D9%8A%D8%A9/%D8%B7%D8%B1%D8%A7%D8%A6%D9%82%20%D9%88%D9%88%D8%B3%D8%A7%D8%A6%D9%84%20%D8%A7%D9%84%D8%AA%D8%AF%D8%B1%D9%8A%D8%A8%20-%20%D8%A7%D9%84%D8%A5%D8%B5%D8%AF%D8%A7%D8%B1%20%D8%A7%D9%84%D8%A3%D9%88%D9%84%201444.pdf?csf=1&amp;web=1&amp;e=gOAY7o" TargetMode="External"/><Relationship Id="rId13" Type="http://schemas.openxmlformats.org/officeDocument/2006/relationships/hyperlink" Target="https://cdd.tvtc.gov.sa/category/16" TargetMode="External"/><Relationship Id="rId18" Type="http://schemas.openxmlformats.org/officeDocument/2006/relationships/hyperlink" Target="#'&#1578;&#1608;&#1589;&#1610;&#1601; &#1575;&#1604;&#1605;&#1602;&#1585;&#1585; &#1575;&#1604;&#1578;&#1583;&#1585;&#1610;&#1576;&#1610;'!CC220"/><Relationship Id="rId3" Type="http://schemas.openxmlformats.org/officeDocument/2006/relationships/image" Target="../media/image5.png"/><Relationship Id="rId21" Type="http://schemas.openxmlformats.org/officeDocument/2006/relationships/image" Target="../media/image2.svg"/><Relationship Id="rId7" Type="http://schemas.openxmlformats.org/officeDocument/2006/relationships/image" Target="../media/image8.png"/><Relationship Id="rId12" Type="http://schemas.openxmlformats.org/officeDocument/2006/relationships/hyperlink" Target="https://tvtc.gov.sa/ar/Departments/tvtcdepartments/Rayat/Pages/E-Services.aspx" TargetMode="External"/><Relationship Id="rId17" Type="http://schemas.openxmlformats.org/officeDocument/2006/relationships/hyperlink" Target="https://ethaqplus.tvtc.gov.sa/ethaqplus/index.php/s/3A3HcykyizAPoff" TargetMode="External"/><Relationship Id="rId2" Type="http://schemas.openxmlformats.org/officeDocument/2006/relationships/image" Target="../media/image4.png"/><Relationship Id="rId16" Type="http://schemas.openxmlformats.org/officeDocument/2006/relationships/hyperlink" Target="https://engmohannadb.github.io/etccourse8/index.html" TargetMode="External"/><Relationship Id="rId20" Type="http://schemas.openxmlformats.org/officeDocument/2006/relationships/image" Target="../media/image1.png"/><Relationship Id="rId1" Type="http://schemas.openxmlformats.org/officeDocument/2006/relationships/image" Target="../media/image3.png"/><Relationship Id="rId6" Type="http://schemas.openxmlformats.org/officeDocument/2006/relationships/hyperlink" Target="https://cdd.tvtc.gov.sa/category/17" TargetMode="External"/><Relationship Id="rId11" Type="http://schemas.openxmlformats.org/officeDocument/2006/relationships/hyperlink" Target="https://maztegani.tvtc.gov.sa/offers" TargetMode="External"/><Relationship Id="rId5" Type="http://schemas.openxmlformats.org/officeDocument/2006/relationships/image" Target="../media/image7.png"/><Relationship Id="rId15" Type="http://schemas.openxmlformats.org/officeDocument/2006/relationships/hyperlink" Target="https://www.office.com/" TargetMode="External"/><Relationship Id="rId10" Type="http://schemas.openxmlformats.org/officeDocument/2006/relationships/hyperlink" Target="https://doroob.sa/ar/" TargetMode="External"/><Relationship Id="rId19" Type="http://schemas.openxmlformats.org/officeDocument/2006/relationships/hyperlink" Target="#'&#1578;&#1608;&#1589;&#1610;&#1601; &#1575;&#1604;&#1605;&#1602;&#1585;&#1585; &#1575;&#1604;&#1578;&#1583;&#1585;&#1610;&#1576;&#1610;'!CS234"/><Relationship Id="rId4" Type="http://schemas.openxmlformats.org/officeDocument/2006/relationships/image" Target="../media/image6.png"/><Relationship Id="rId9" Type="http://schemas.openxmlformats.org/officeDocument/2006/relationships/hyperlink" Target="http://elearning.edu.sa/OLib/" TargetMode="External"/><Relationship Id="rId14" Type="http://schemas.openxmlformats.org/officeDocument/2006/relationships/hyperlink" Target="https://tvtc.gov.sa/ar/Departments/tvtcdepartments/Rayat/Documents/%D8%AF%D9%84%D9%8A%D9%84%20%D8%A7%D9%84%D9%85%D8%AA%D8%AF%D8%B1%D8%A8%20%D8%A7%D9%84%D8%A7%D9%84%D9%83%D8%AA%D8%B1%D9%88%D9%86%D9%8A%20%D8%A8%D8%A7%D9%84%D8%B1%D8%A7%D9%88%D8%A7%D8%A8%D8%B7%20%D9%84%D9%84%D8%B9%D8%A7%D9%85%201444%20%D9%87%D9%80.pdf" TargetMode="External"/><Relationship Id="rId22"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65826</xdr:colOff>
      <xdr:row>1</xdr:row>
      <xdr:rowOff>26953</xdr:rowOff>
    </xdr:from>
    <xdr:to>
      <xdr:col>67</xdr:col>
      <xdr:colOff>26547</xdr:colOff>
      <xdr:row>5</xdr:row>
      <xdr:rowOff>104578</xdr:rowOff>
    </xdr:to>
    <xdr:grpSp>
      <xdr:nvGrpSpPr>
        <xdr:cNvPr id="2" name="مجموعة 1">
          <a:extLst>
            <a:ext uri="{FF2B5EF4-FFF2-40B4-BE49-F238E27FC236}">
              <a16:creationId xmlns:a16="http://schemas.microsoft.com/office/drawing/2014/main" xmlns="" id="{00000000-0008-0000-0100-000002000000}"/>
            </a:ext>
          </a:extLst>
        </xdr:cNvPr>
        <xdr:cNvGrpSpPr>
          <a:grpSpLocks noChangeAspect="1"/>
        </xdr:cNvGrpSpPr>
      </xdr:nvGrpSpPr>
      <xdr:grpSpPr>
        <a:xfrm>
          <a:off x="2983353" y="217453"/>
          <a:ext cx="3656421" cy="792000"/>
          <a:chOff x="11274942537" y="330250"/>
          <a:chExt cx="3511968" cy="632956"/>
        </a:xfrm>
      </xdr:grpSpPr>
      <xdr:pic>
        <xdr:nvPicPr>
          <xdr:cNvPr id="3" name="رسم 2">
            <a:extLst>
              <a:ext uri="{FF2B5EF4-FFF2-40B4-BE49-F238E27FC236}">
                <a16:creationId xmlns:a16="http://schemas.microsoft.com/office/drawing/2014/main" xmlns="" id="{00000000-0008-0000-01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rcRect t="30302" r="23325" b="23154"/>
          <a:stretch/>
        </xdr:blipFill>
        <xdr:spPr>
          <a:xfrm>
            <a:off x="11274942537" y="330250"/>
            <a:ext cx="2827356" cy="486833"/>
          </a:xfrm>
          <a:prstGeom prst="rect">
            <a:avLst/>
          </a:prstGeom>
        </xdr:spPr>
      </xdr:pic>
      <xdr:pic>
        <xdr:nvPicPr>
          <xdr:cNvPr id="4" name="رسم 3">
            <a:extLst>
              <a:ext uri="{FF2B5EF4-FFF2-40B4-BE49-F238E27FC236}">
                <a16:creationId xmlns:a16="http://schemas.microsoft.com/office/drawing/2014/main" xmlns="" id="{00000000-0008-0000-01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rcRect l="77503"/>
          <a:stretch/>
        </xdr:blipFill>
        <xdr:spPr>
          <a:xfrm>
            <a:off x="11277822254" y="349739"/>
            <a:ext cx="632251" cy="613467"/>
          </a:xfrm>
          <a:prstGeom prst="rect">
            <a:avLst/>
          </a:prstGeom>
        </xdr:spPr>
      </xdr:pic>
    </xdr:grpSp>
    <xdr:clientData/>
  </xdr:twoCellAnchor>
  <xdr:twoCellAnchor>
    <xdr:from>
      <xdr:col>1</xdr:col>
      <xdr:colOff>8442</xdr:colOff>
      <xdr:row>247</xdr:row>
      <xdr:rowOff>63277</xdr:rowOff>
    </xdr:from>
    <xdr:to>
      <xdr:col>122</xdr:col>
      <xdr:colOff>27440</xdr:colOff>
      <xdr:row>249</xdr:row>
      <xdr:rowOff>36205</xdr:rowOff>
    </xdr:to>
    <xdr:grpSp>
      <xdr:nvGrpSpPr>
        <xdr:cNvPr id="5" name="مجموعة 4">
          <a:extLst>
            <a:ext uri="{FF2B5EF4-FFF2-40B4-BE49-F238E27FC236}">
              <a16:creationId xmlns:a16="http://schemas.microsoft.com/office/drawing/2014/main" xmlns="" id="{00000000-0008-0000-0100-000005000000}"/>
            </a:ext>
          </a:extLst>
        </xdr:cNvPr>
        <xdr:cNvGrpSpPr/>
      </xdr:nvGrpSpPr>
      <xdr:grpSpPr>
        <a:xfrm>
          <a:off x="191635" y="62909227"/>
          <a:ext cx="6486473" cy="468228"/>
          <a:chOff x="264600" y="42400415"/>
          <a:chExt cx="7428291" cy="400807"/>
        </a:xfrm>
      </xdr:grpSpPr>
      <xdr:grpSp>
        <xdr:nvGrpSpPr>
          <xdr:cNvPr id="6" name="مجموعة 5">
            <a:extLst>
              <a:ext uri="{FF2B5EF4-FFF2-40B4-BE49-F238E27FC236}">
                <a16:creationId xmlns:a16="http://schemas.microsoft.com/office/drawing/2014/main" xmlns="" id="{00000000-0008-0000-0100-000006000000}"/>
              </a:ext>
            </a:extLst>
          </xdr:cNvPr>
          <xdr:cNvGrpSpPr/>
        </xdr:nvGrpSpPr>
        <xdr:grpSpPr>
          <a:xfrm>
            <a:off x="264600" y="42400415"/>
            <a:ext cx="7428291" cy="215825"/>
            <a:chOff x="264600" y="40523990"/>
            <a:chExt cx="7428291" cy="215825"/>
          </a:xfrm>
          <a:solidFill>
            <a:schemeClr val="bg2">
              <a:lumMod val="50000"/>
            </a:schemeClr>
          </a:solidFill>
        </xdr:grpSpPr>
        <xdr:sp macro="" textlink="">
          <xdr:nvSpPr>
            <xdr:cNvPr id="8" name="مستطيل: زوايا علوية مستديرة 148">
              <a:extLst>
                <a:ext uri="{FF2B5EF4-FFF2-40B4-BE49-F238E27FC236}">
                  <a16:creationId xmlns:a16="http://schemas.microsoft.com/office/drawing/2014/main" xmlns="" id="{00000000-0008-0000-0100-000008000000}"/>
                </a:ext>
              </a:extLst>
            </xdr:cNvPr>
            <xdr:cNvSpPr/>
          </xdr:nvSpPr>
          <xdr:spPr>
            <a:xfrm>
              <a:off x="5378316" y="40523990"/>
              <a:ext cx="2314575" cy="215714"/>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الإدارة العامة لجودة التدريب</a:t>
              </a:r>
            </a:p>
          </xdr:txBody>
        </xdr:sp>
        <xdr:sp macro="" textlink="">
          <xdr:nvSpPr>
            <xdr:cNvPr id="9" name="مستطيل: زوايا علوية مستديرة 148">
              <a:extLst>
                <a:ext uri="{FF2B5EF4-FFF2-40B4-BE49-F238E27FC236}">
                  <a16:creationId xmlns:a16="http://schemas.microsoft.com/office/drawing/2014/main" xmlns="" id="{00000000-0008-0000-0100-000009000000}"/>
                </a:ext>
              </a:extLst>
            </xdr:cNvPr>
            <xdr:cNvSpPr/>
          </xdr:nvSpPr>
          <xdr:spPr>
            <a:xfrm>
              <a:off x="2826678" y="40524022"/>
              <a:ext cx="2314575" cy="215714"/>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الإصدار  الأول   -   فبراير   2023</a:t>
              </a:r>
            </a:p>
          </xdr:txBody>
        </xdr:sp>
        <xdr:sp macro="" textlink="">
          <xdr:nvSpPr>
            <xdr:cNvPr id="10" name="مستطيل: زوايا علوية مستديرة 148">
              <a:extLst>
                <a:ext uri="{FF2B5EF4-FFF2-40B4-BE49-F238E27FC236}">
                  <a16:creationId xmlns:a16="http://schemas.microsoft.com/office/drawing/2014/main" xmlns="" id="{00000000-0008-0000-0100-00000A000000}"/>
                </a:ext>
              </a:extLst>
            </xdr:cNvPr>
            <xdr:cNvSpPr/>
          </xdr:nvSpPr>
          <xdr:spPr>
            <a:xfrm>
              <a:off x="264600" y="40524100"/>
              <a:ext cx="2314575" cy="215715"/>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gdqs@tvtc.gov.sa</a:t>
              </a:r>
              <a:endPar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endParaRPr>
            </a:p>
          </xdr:txBody>
        </xdr:sp>
      </xdr:grpSp>
      <xdr:sp macro="" textlink="">
        <xdr:nvSpPr>
          <xdr:cNvPr id="7" name="مستطيل: زاوية واحدة مستديرة 149">
            <a:extLst>
              <a:ext uri="{FF2B5EF4-FFF2-40B4-BE49-F238E27FC236}">
                <a16:creationId xmlns:a16="http://schemas.microsoft.com/office/drawing/2014/main" xmlns="" id="{00000000-0008-0000-0100-000007000000}"/>
              </a:ext>
            </a:extLst>
          </xdr:cNvPr>
          <xdr:cNvSpPr/>
        </xdr:nvSpPr>
        <xdr:spPr>
          <a:xfrm>
            <a:off x="276622" y="42624375"/>
            <a:ext cx="7406254" cy="176847"/>
          </a:xfrm>
          <a:prstGeom prst="round1Rect">
            <a:avLst>
              <a:gd name="adj" fmla="val 0"/>
            </a:avLst>
          </a:prstGeom>
          <a:noFill/>
          <a:ln w="19050">
            <a:solidFill>
              <a:srgbClr val="25AFA5"/>
            </a:solidFill>
            <a:extLst>
              <a:ext uri="{C807C97D-BFC1-408E-A445-0C87EB9F89A2}">
                <ask:lineSketchStyleProps xmlns:ask="http://schemas.microsoft.com/office/drawing/2018/sketchyshapes" xmlns="" sd="1219033472">
                  <a:custGeom>
                    <a:avLst/>
                    <a:gdLst>
                      <a:gd name="connsiteX0" fmla="*/ 0 w 10000"/>
                      <a:gd name="connsiteY0" fmla="*/ 0 h 10000"/>
                      <a:gd name="connsiteX1" fmla="*/ 10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extrusionOk="0">
                        <a:moveTo>
                          <a:pt x="0" y="0"/>
                        </a:moveTo>
                        <a:cubicBezTo>
                          <a:pt x="1807" y="345"/>
                          <a:pt x="8563" y="-688"/>
                          <a:pt x="10000" y="0"/>
                        </a:cubicBezTo>
                        <a:lnTo>
                          <a:pt x="10000" y="0"/>
                        </a:lnTo>
                        <a:cubicBezTo>
                          <a:pt x="10018" y="3956"/>
                          <a:pt x="9851" y="8528"/>
                          <a:pt x="10000" y="10000"/>
                        </a:cubicBezTo>
                        <a:cubicBezTo>
                          <a:pt x="5276" y="10100"/>
                          <a:pt x="1106" y="9104"/>
                          <a:pt x="0" y="10000"/>
                        </a:cubicBezTo>
                        <a:cubicBezTo>
                          <a:pt x="513" y="8830"/>
                          <a:pt x="820" y="3451"/>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1" anchor="ctr"/>
          <a:lstStyle/>
          <a:p>
            <a:pPr algn="ctr" rtl="1"/>
            <a:r>
              <a:rPr lang="ar-SA" sz="1300" b="1">
                <a:solidFill>
                  <a:srgbClr val="616365"/>
                </a:solidFill>
                <a:latin typeface="Sakkal Majalla" panose="02000000000000000000" pitchFamily="2" charset="-78"/>
                <a:cs typeface="Sakkal Majalla" panose="02000000000000000000" pitchFamily="2" charset="-78"/>
              </a:rPr>
              <a:t>يسعدنا استقبال مقترحاتكم لغرض التطوير والتحسين في الإصدار الثاني لنموذج ملف المدرب وتوصيف المقرر التدريبي من خلال بريد الإدارة الموضح أعلاه.</a:t>
            </a:r>
          </a:p>
        </xdr:txBody>
      </xdr:sp>
    </xdr:grpSp>
    <xdr:clientData/>
  </xdr:twoCellAnchor>
  <xdr:twoCellAnchor>
    <xdr:from>
      <xdr:col>1</xdr:col>
      <xdr:colOff>38100</xdr:colOff>
      <xdr:row>75</xdr:row>
      <xdr:rowOff>25398</xdr:rowOff>
    </xdr:from>
    <xdr:to>
      <xdr:col>122</xdr:col>
      <xdr:colOff>8900</xdr:colOff>
      <xdr:row>111</xdr:row>
      <xdr:rowOff>21473</xdr:rowOff>
    </xdr:to>
    <xdr:grpSp>
      <xdr:nvGrpSpPr>
        <xdr:cNvPr id="11" name="مجموعة 10">
          <a:extLst>
            <a:ext uri="{FF2B5EF4-FFF2-40B4-BE49-F238E27FC236}">
              <a16:creationId xmlns:a16="http://schemas.microsoft.com/office/drawing/2014/main" xmlns="" id="{00000000-0008-0000-0100-00000B000000}"/>
            </a:ext>
          </a:extLst>
        </xdr:cNvPr>
        <xdr:cNvGrpSpPr/>
      </xdr:nvGrpSpPr>
      <xdr:grpSpPr>
        <a:xfrm>
          <a:off x="210175" y="11722098"/>
          <a:ext cx="6438275" cy="10064000"/>
          <a:chOff x="250569" y="1445424"/>
          <a:chExt cx="7442302" cy="10159366"/>
        </a:xfrm>
      </xdr:grpSpPr>
      <xdr:sp macro="" textlink="">
        <xdr:nvSpPr>
          <xdr:cNvPr id="12" name="مستطيل: زوايا علوية مستديرة 148">
            <a:extLst>
              <a:ext uri="{FF2B5EF4-FFF2-40B4-BE49-F238E27FC236}">
                <a16:creationId xmlns:a16="http://schemas.microsoft.com/office/drawing/2014/main" xmlns="" id="{00000000-0008-0000-0100-00000C000000}"/>
              </a:ext>
            </a:extLst>
          </xdr:cNvPr>
          <xdr:cNvSpPr/>
        </xdr:nvSpPr>
        <xdr:spPr>
          <a:xfrm>
            <a:off x="250569" y="1445424"/>
            <a:ext cx="7442301" cy="490605"/>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بيانات المقرر  التدريبي</a:t>
            </a:r>
          </a:p>
        </xdr:txBody>
      </xdr:sp>
      <xdr:sp macro="" textlink="">
        <xdr:nvSpPr>
          <xdr:cNvPr id="13" name="مستطيل: زاوية واحدة مستديرة 149">
            <a:extLst>
              <a:ext uri="{FF2B5EF4-FFF2-40B4-BE49-F238E27FC236}">
                <a16:creationId xmlns:a16="http://schemas.microsoft.com/office/drawing/2014/main" xmlns="" id="{00000000-0008-0000-0100-00000D000000}"/>
              </a:ext>
            </a:extLst>
          </xdr:cNvPr>
          <xdr:cNvSpPr/>
        </xdr:nvSpPr>
        <xdr:spPr>
          <a:xfrm>
            <a:off x="250569" y="1936687"/>
            <a:ext cx="7442302" cy="9668103"/>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34015</xdr:colOff>
      <xdr:row>197</xdr:row>
      <xdr:rowOff>27207</xdr:rowOff>
    </xdr:from>
    <xdr:to>
      <xdr:col>122</xdr:col>
      <xdr:colOff>4815</xdr:colOff>
      <xdr:row>210</xdr:row>
      <xdr:rowOff>19148</xdr:rowOff>
    </xdr:to>
    <xdr:grpSp>
      <xdr:nvGrpSpPr>
        <xdr:cNvPr id="14" name="مجموعة 13">
          <a:extLst>
            <a:ext uri="{FF2B5EF4-FFF2-40B4-BE49-F238E27FC236}">
              <a16:creationId xmlns:a16="http://schemas.microsoft.com/office/drawing/2014/main" xmlns="" id="{00000000-0008-0000-0100-00000E000000}"/>
            </a:ext>
          </a:extLst>
        </xdr:cNvPr>
        <xdr:cNvGrpSpPr/>
      </xdr:nvGrpSpPr>
      <xdr:grpSpPr>
        <a:xfrm>
          <a:off x="214260" y="53281482"/>
          <a:ext cx="6438275" cy="3239966"/>
          <a:chOff x="250569" y="1445426"/>
          <a:chExt cx="7442302" cy="3238126"/>
        </a:xfrm>
      </xdr:grpSpPr>
      <xdr:sp macro="" textlink="">
        <xdr:nvSpPr>
          <xdr:cNvPr id="15" name="مستطيل: زوايا علوية مستديرة 148">
            <a:extLst>
              <a:ext uri="{FF2B5EF4-FFF2-40B4-BE49-F238E27FC236}">
                <a16:creationId xmlns:a16="http://schemas.microsoft.com/office/drawing/2014/main" xmlns="" id="{00000000-0008-0000-0100-00000F000000}"/>
              </a:ext>
            </a:extLst>
          </xdr:cNvPr>
          <xdr:cNvSpPr/>
        </xdr:nvSpPr>
        <xdr:spPr>
          <a:xfrm>
            <a:off x="250569" y="1445426"/>
            <a:ext cx="7442301" cy="48455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المراجع التدريبية</a:t>
            </a:r>
          </a:p>
        </xdr:txBody>
      </xdr:sp>
      <xdr:sp macro="" textlink="">
        <xdr:nvSpPr>
          <xdr:cNvPr id="16" name="مستطيل: زاوية واحدة مستديرة 149">
            <a:extLst>
              <a:ext uri="{FF2B5EF4-FFF2-40B4-BE49-F238E27FC236}">
                <a16:creationId xmlns:a16="http://schemas.microsoft.com/office/drawing/2014/main" xmlns="" id="{00000000-0008-0000-0100-000010000000}"/>
              </a:ext>
            </a:extLst>
          </xdr:cNvPr>
          <xdr:cNvSpPr/>
        </xdr:nvSpPr>
        <xdr:spPr>
          <a:xfrm>
            <a:off x="250569" y="1936690"/>
            <a:ext cx="7442302" cy="2746862"/>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40824</xdr:colOff>
      <xdr:row>213</xdr:row>
      <xdr:rowOff>27217</xdr:rowOff>
    </xdr:from>
    <xdr:to>
      <xdr:col>122</xdr:col>
      <xdr:colOff>11624</xdr:colOff>
      <xdr:row>226</xdr:row>
      <xdr:rowOff>18314</xdr:rowOff>
    </xdr:to>
    <xdr:grpSp>
      <xdr:nvGrpSpPr>
        <xdr:cNvPr id="17" name="مجموعة 16">
          <a:extLst>
            <a:ext uri="{FF2B5EF4-FFF2-40B4-BE49-F238E27FC236}">
              <a16:creationId xmlns:a16="http://schemas.microsoft.com/office/drawing/2014/main" xmlns="" id="{00000000-0008-0000-0100-000011000000}"/>
            </a:ext>
          </a:extLst>
        </xdr:cNvPr>
        <xdr:cNvGrpSpPr/>
      </xdr:nvGrpSpPr>
      <xdr:grpSpPr>
        <a:xfrm>
          <a:off x="207451" y="56834317"/>
          <a:ext cx="6438275" cy="3239122"/>
          <a:chOff x="250569" y="1445426"/>
          <a:chExt cx="7442302" cy="3237623"/>
        </a:xfrm>
      </xdr:grpSpPr>
      <xdr:sp macro="" textlink="">
        <xdr:nvSpPr>
          <xdr:cNvPr id="18" name="مستطيل: زوايا علوية مستديرة 148">
            <a:extLst>
              <a:ext uri="{FF2B5EF4-FFF2-40B4-BE49-F238E27FC236}">
                <a16:creationId xmlns:a16="http://schemas.microsoft.com/office/drawing/2014/main" xmlns="" id="{00000000-0008-0000-0100-000012000000}"/>
              </a:ext>
            </a:extLst>
          </xdr:cNvPr>
          <xdr:cNvSpPr/>
        </xdr:nvSpPr>
        <xdr:spPr>
          <a:xfrm>
            <a:off x="250569" y="1445426"/>
            <a:ext cx="7442301" cy="48460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تقييم جودة المقرر</a:t>
            </a:r>
          </a:p>
        </xdr:txBody>
      </xdr:sp>
      <xdr:sp macro="" textlink="">
        <xdr:nvSpPr>
          <xdr:cNvPr id="19" name="مستطيل: زاوية واحدة مستديرة 149">
            <a:extLst>
              <a:ext uri="{FF2B5EF4-FFF2-40B4-BE49-F238E27FC236}">
                <a16:creationId xmlns:a16="http://schemas.microsoft.com/office/drawing/2014/main" xmlns="" id="{00000000-0008-0000-0100-000013000000}"/>
              </a:ext>
            </a:extLst>
          </xdr:cNvPr>
          <xdr:cNvSpPr/>
        </xdr:nvSpPr>
        <xdr:spPr>
          <a:xfrm>
            <a:off x="250569" y="1936689"/>
            <a:ext cx="7442302" cy="2746360"/>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40824</xdr:colOff>
      <xdr:row>229</xdr:row>
      <xdr:rowOff>27224</xdr:rowOff>
    </xdr:from>
    <xdr:to>
      <xdr:col>122</xdr:col>
      <xdr:colOff>11624</xdr:colOff>
      <xdr:row>236</xdr:row>
      <xdr:rowOff>19196</xdr:rowOff>
    </xdr:to>
    <xdr:grpSp>
      <xdr:nvGrpSpPr>
        <xdr:cNvPr id="20" name="مجموعة 19">
          <a:extLst>
            <a:ext uri="{FF2B5EF4-FFF2-40B4-BE49-F238E27FC236}">
              <a16:creationId xmlns:a16="http://schemas.microsoft.com/office/drawing/2014/main" xmlns="" id="{00000000-0008-0000-0100-000014000000}"/>
            </a:ext>
          </a:extLst>
        </xdr:cNvPr>
        <xdr:cNvGrpSpPr/>
      </xdr:nvGrpSpPr>
      <xdr:grpSpPr>
        <a:xfrm>
          <a:off x="207451" y="60387149"/>
          <a:ext cx="6438275" cy="1468347"/>
          <a:chOff x="250569" y="1445426"/>
          <a:chExt cx="7442302" cy="1553681"/>
        </a:xfrm>
      </xdr:grpSpPr>
      <xdr:sp macro="" textlink="">
        <xdr:nvSpPr>
          <xdr:cNvPr id="21" name="مستطيل: زوايا علوية مستديرة 148">
            <a:extLst>
              <a:ext uri="{FF2B5EF4-FFF2-40B4-BE49-F238E27FC236}">
                <a16:creationId xmlns:a16="http://schemas.microsoft.com/office/drawing/2014/main" xmlns="" id="{00000000-0008-0000-0100-000015000000}"/>
              </a:ext>
            </a:extLst>
          </xdr:cNvPr>
          <xdr:cNvSpPr/>
        </xdr:nvSpPr>
        <xdr:spPr>
          <a:xfrm>
            <a:off x="250569" y="1445426"/>
            <a:ext cx="7442301" cy="514244"/>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روابط مهمة</a:t>
            </a:r>
          </a:p>
        </xdr:txBody>
      </xdr:sp>
      <xdr:sp macro="" textlink="">
        <xdr:nvSpPr>
          <xdr:cNvPr id="22" name="مستطيل: زاوية واحدة مستديرة 149">
            <a:extLst>
              <a:ext uri="{FF2B5EF4-FFF2-40B4-BE49-F238E27FC236}">
                <a16:creationId xmlns:a16="http://schemas.microsoft.com/office/drawing/2014/main" xmlns="" id="{00000000-0008-0000-0100-000016000000}"/>
              </a:ext>
            </a:extLst>
          </xdr:cNvPr>
          <xdr:cNvSpPr/>
        </xdr:nvSpPr>
        <xdr:spPr>
          <a:xfrm>
            <a:off x="250569" y="1936688"/>
            <a:ext cx="7442302" cy="1062419"/>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79</xdr:col>
      <xdr:colOff>38100</xdr:colOff>
      <xdr:row>184</xdr:row>
      <xdr:rowOff>135082</xdr:rowOff>
    </xdr:from>
    <xdr:to>
      <xdr:col>89</xdr:col>
      <xdr:colOff>33023</xdr:colOff>
      <xdr:row>184</xdr:row>
      <xdr:rowOff>243082</xdr:rowOff>
    </xdr:to>
    <xdr:sp macro="" textlink="">
      <xdr:nvSpPr>
        <xdr:cNvPr id="23" name="مستطيل 22">
          <a:hlinkClick xmlns:r="http://schemas.openxmlformats.org/officeDocument/2006/relationships" r:id="rId4"/>
          <a:extLst>
            <a:ext uri="{FF2B5EF4-FFF2-40B4-BE49-F238E27FC236}">
              <a16:creationId xmlns:a16="http://schemas.microsoft.com/office/drawing/2014/main" xmlns="" id="{00000000-0008-0000-0100-000017000000}"/>
            </a:ext>
          </a:extLst>
        </xdr:cNvPr>
        <xdr:cNvSpPr/>
      </xdr:nvSpPr>
      <xdr:spPr>
        <a:xfrm>
          <a:off x="2205352" y="51570082"/>
          <a:ext cx="594998" cy="108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xdr:col>
      <xdr:colOff>34637</xdr:colOff>
      <xdr:row>10</xdr:row>
      <xdr:rowOff>25976</xdr:rowOff>
    </xdr:from>
    <xdr:to>
      <xdr:col>122</xdr:col>
      <xdr:colOff>5437</xdr:colOff>
      <xdr:row>24</xdr:row>
      <xdr:rowOff>7267</xdr:rowOff>
    </xdr:to>
    <xdr:grpSp>
      <xdr:nvGrpSpPr>
        <xdr:cNvPr id="24" name="مجموعة 23">
          <a:extLst>
            <a:ext uri="{FF2B5EF4-FFF2-40B4-BE49-F238E27FC236}">
              <a16:creationId xmlns:a16="http://schemas.microsoft.com/office/drawing/2014/main" xmlns="" id="{00000000-0008-0000-0100-000018000000}"/>
            </a:ext>
          </a:extLst>
        </xdr:cNvPr>
        <xdr:cNvGrpSpPr/>
      </xdr:nvGrpSpPr>
      <xdr:grpSpPr>
        <a:xfrm>
          <a:off x="213638" y="1473776"/>
          <a:ext cx="6438275" cy="2495891"/>
          <a:chOff x="250569" y="1445425"/>
          <a:chExt cx="7442302" cy="2517833"/>
        </a:xfrm>
      </xdr:grpSpPr>
      <xdr:sp macro="" textlink="">
        <xdr:nvSpPr>
          <xdr:cNvPr id="25" name="مستطيل: زوايا علوية مستديرة 148">
            <a:extLst>
              <a:ext uri="{FF2B5EF4-FFF2-40B4-BE49-F238E27FC236}">
                <a16:creationId xmlns:a16="http://schemas.microsoft.com/office/drawing/2014/main" xmlns="" id="{00000000-0008-0000-0100-000019000000}"/>
              </a:ext>
            </a:extLst>
          </xdr:cNvPr>
          <xdr:cNvSpPr/>
        </xdr:nvSpPr>
        <xdr:spPr>
          <a:xfrm>
            <a:off x="250569" y="1445425"/>
            <a:ext cx="7442301" cy="490273"/>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بيانات المدرب</a:t>
            </a:r>
          </a:p>
        </xdr:txBody>
      </xdr:sp>
      <xdr:sp macro="" textlink="">
        <xdr:nvSpPr>
          <xdr:cNvPr id="26" name="مستطيل: زاوية واحدة مستديرة 149">
            <a:extLst>
              <a:ext uri="{FF2B5EF4-FFF2-40B4-BE49-F238E27FC236}">
                <a16:creationId xmlns:a16="http://schemas.microsoft.com/office/drawing/2014/main" xmlns="" id="{00000000-0008-0000-0100-00001A000000}"/>
              </a:ext>
            </a:extLst>
          </xdr:cNvPr>
          <xdr:cNvSpPr/>
        </xdr:nvSpPr>
        <xdr:spPr>
          <a:xfrm>
            <a:off x="250569" y="1936688"/>
            <a:ext cx="7442302" cy="2026570"/>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34636</xdr:colOff>
      <xdr:row>26</xdr:row>
      <xdr:rowOff>25976</xdr:rowOff>
    </xdr:from>
    <xdr:to>
      <xdr:col>122</xdr:col>
      <xdr:colOff>5436</xdr:colOff>
      <xdr:row>72</xdr:row>
      <xdr:rowOff>16193</xdr:rowOff>
    </xdr:to>
    <xdr:grpSp>
      <xdr:nvGrpSpPr>
        <xdr:cNvPr id="30" name="مجموعة 29">
          <a:extLst>
            <a:ext uri="{FF2B5EF4-FFF2-40B4-BE49-F238E27FC236}">
              <a16:creationId xmlns:a16="http://schemas.microsoft.com/office/drawing/2014/main" xmlns="" id="{00000000-0008-0000-0100-00001E000000}"/>
            </a:ext>
          </a:extLst>
        </xdr:cNvPr>
        <xdr:cNvGrpSpPr/>
      </xdr:nvGrpSpPr>
      <xdr:grpSpPr>
        <a:xfrm>
          <a:off x="213639" y="4236026"/>
          <a:ext cx="6438275" cy="7172067"/>
          <a:chOff x="250569" y="1445425"/>
          <a:chExt cx="7442302" cy="7263135"/>
        </a:xfrm>
      </xdr:grpSpPr>
      <xdr:sp macro="" textlink="">
        <xdr:nvSpPr>
          <xdr:cNvPr id="31" name="مستطيل: زوايا علوية مستديرة 148">
            <a:extLst>
              <a:ext uri="{FF2B5EF4-FFF2-40B4-BE49-F238E27FC236}">
                <a16:creationId xmlns:a16="http://schemas.microsoft.com/office/drawing/2014/main" xmlns="" id="{00000000-0008-0000-0100-00001F000000}"/>
              </a:ext>
            </a:extLst>
          </xdr:cNvPr>
          <xdr:cNvSpPr/>
        </xdr:nvSpPr>
        <xdr:spPr>
          <a:xfrm>
            <a:off x="250569" y="1445425"/>
            <a:ext cx="7442301" cy="492171"/>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وسيلة التواصل</a:t>
            </a:r>
          </a:p>
        </xdr:txBody>
      </xdr:sp>
      <xdr:sp macro="" textlink="">
        <xdr:nvSpPr>
          <xdr:cNvPr id="32" name="مستطيل: زاوية واحدة مستديرة 149">
            <a:extLst>
              <a:ext uri="{FF2B5EF4-FFF2-40B4-BE49-F238E27FC236}">
                <a16:creationId xmlns:a16="http://schemas.microsoft.com/office/drawing/2014/main" xmlns="" id="{00000000-0008-0000-0100-000020000000}"/>
              </a:ext>
            </a:extLst>
          </xdr:cNvPr>
          <xdr:cNvSpPr/>
        </xdr:nvSpPr>
        <xdr:spPr>
          <a:xfrm>
            <a:off x="250569" y="1936649"/>
            <a:ext cx="7442302" cy="6771911"/>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38100</xdr:colOff>
      <xdr:row>114</xdr:row>
      <xdr:rowOff>28575</xdr:rowOff>
    </xdr:from>
    <xdr:to>
      <xdr:col>122</xdr:col>
      <xdr:colOff>8900</xdr:colOff>
      <xdr:row>130</xdr:row>
      <xdr:rowOff>21269</xdr:rowOff>
    </xdr:to>
    <xdr:grpSp>
      <xdr:nvGrpSpPr>
        <xdr:cNvPr id="33" name="مجموعة 32">
          <a:extLst>
            <a:ext uri="{FF2B5EF4-FFF2-40B4-BE49-F238E27FC236}">
              <a16:creationId xmlns:a16="http://schemas.microsoft.com/office/drawing/2014/main" xmlns="" id="{00000000-0008-0000-0100-000021000000}"/>
            </a:ext>
          </a:extLst>
        </xdr:cNvPr>
        <xdr:cNvGrpSpPr/>
      </xdr:nvGrpSpPr>
      <xdr:grpSpPr>
        <a:xfrm>
          <a:off x="210175" y="22098000"/>
          <a:ext cx="6438275" cy="10184444"/>
          <a:chOff x="250569" y="1445426"/>
          <a:chExt cx="7442302" cy="10287790"/>
        </a:xfrm>
      </xdr:grpSpPr>
      <xdr:sp macro="" textlink="">
        <xdr:nvSpPr>
          <xdr:cNvPr id="34" name="مستطيل: زوايا علوية مستديرة 148">
            <a:extLst>
              <a:ext uri="{FF2B5EF4-FFF2-40B4-BE49-F238E27FC236}">
                <a16:creationId xmlns:a16="http://schemas.microsoft.com/office/drawing/2014/main" xmlns="" id="{00000000-0008-0000-0100-000022000000}"/>
              </a:ext>
            </a:extLst>
          </xdr:cNvPr>
          <xdr:cNvSpPr/>
        </xdr:nvSpPr>
        <xdr:spPr>
          <a:xfrm>
            <a:off x="250569" y="1445426"/>
            <a:ext cx="7442301" cy="489071"/>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متطلبات التدريب في المقرر التدريبي</a:t>
            </a:r>
          </a:p>
        </xdr:txBody>
      </xdr:sp>
      <xdr:sp macro="" textlink="">
        <xdr:nvSpPr>
          <xdr:cNvPr id="35" name="مستطيل: زاوية واحدة مستديرة 149">
            <a:extLst>
              <a:ext uri="{FF2B5EF4-FFF2-40B4-BE49-F238E27FC236}">
                <a16:creationId xmlns:a16="http://schemas.microsoft.com/office/drawing/2014/main" xmlns="" id="{00000000-0008-0000-0100-000023000000}"/>
              </a:ext>
            </a:extLst>
          </xdr:cNvPr>
          <xdr:cNvSpPr/>
        </xdr:nvSpPr>
        <xdr:spPr>
          <a:xfrm>
            <a:off x="250569" y="1936686"/>
            <a:ext cx="7442302" cy="9796530"/>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84</xdr:col>
      <xdr:colOff>8659</xdr:colOff>
      <xdr:row>203</xdr:row>
      <xdr:rowOff>155864</xdr:rowOff>
    </xdr:from>
    <xdr:to>
      <xdr:col>116</xdr:col>
      <xdr:colOff>43295</xdr:colOff>
      <xdr:row>203</xdr:row>
      <xdr:rowOff>346363</xdr:rowOff>
    </xdr:to>
    <xdr:sp macro="" textlink="">
      <xdr:nvSpPr>
        <xdr:cNvPr id="40" name="مربع نص 39">
          <a:hlinkClick xmlns:r="http://schemas.openxmlformats.org/officeDocument/2006/relationships" r:id="rId5"/>
          <a:extLst>
            <a:ext uri="{FF2B5EF4-FFF2-40B4-BE49-F238E27FC236}">
              <a16:creationId xmlns:a16="http://schemas.microsoft.com/office/drawing/2014/main" xmlns="" id="{00000000-0008-0000-0100-000028000000}"/>
            </a:ext>
          </a:extLst>
        </xdr:cNvPr>
        <xdr:cNvSpPr txBox="1"/>
      </xdr:nvSpPr>
      <xdr:spPr>
        <a:xfrm>
          <a:off x="623455" y="54934139"/>
          <a:ext cx="193963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51955</xdr:colOff>
      <xdr:row>205</xdr:row>
      <xdr:rowOff>155863</xdr:rowOff>
    </xdr:from>
    <xdr:to>
      <xdr:col>116</xdr:col>
      <xdr:colOff>17318</xdr:colOff>
      <xdr:row>205</xdr:row>
      <xdr:rowOff>346362</xdr:rowOff>
    </xdr:to>
    <xdr:sp macro="" textlink="">
      <xdr:nvSpPr>
        <xdr:cNvPr id="41" name="مربع نص 40">
          <a:hlinkClick xmlns:r="http://schemas.openxmlformats.org/officeDocument/2006/relationships" r:id="rId6"/>
          <a:extLst>
            <a:ext uri="{FF2B5EF4-FFF2-40B4-BE49-F238E27FC236}">
              <a16:creationId xmlns:a16="http://schemas.microsoft.com/office/drawing/2014/main" xmlns="" id="{00000000-0008-0000-0100-000029000000}"/>
            </a:ext>
          </a:extLst>
        </xdr:cNvPr>
        <xdr:cNvSpPr txBox="1"/>
      </xdr:nvSpPr>
      <xdr:spPr>
        <a:xfrm>
          <a:off x="649432" y="55496113"/>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60614</xdr:colOff>
      <xdr:row>207</xdr:row>
      <xdr:rowOff>163656</xdr:rowOff>
    </xdr:from>
    <xdr:to>
      <xdr:col>116</xdr:col>
      <xdr:colOff>25977</xdr:colOff>
      <xdr:row>207</xdr:row>
      <xdr:rowOff>354155</xdr:rowOff>
    </xdr:to>
    <xdr:sp macro="" textlink="">
      <xdr:nvSpPr>
        <xdr:cNvPr id="42" name="مربع نص 41">
          <a:hlinkClick xmlns:r="http://schemas.openxmlformats.org/officeDocument/2006/relationships" r:id="rId7"/>
          <a:extLst>
            <a:ext uri="{FF2B5EF4-FFF2-40B4-BE49-F238E27FC236}">
              <a16:creationId xmlns:a16="http://schemas.microsoft.com/office/drawing/2014/main" xmlns="" id="{00000000-0008-0000-0100-00002A000000}"/>
            </a:ext>
          </a:extLst>
        </xdr:cNvPr>
        <xdr:cNvSpPr txBox="1"/>
      </xdr:nvSpPr>
      <xdr:spPr>
        <a:xfrm>
          <a:off x="640773" y="56065881"/>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9</xdr:col>
      <xdr:colOff>52136</xdr:colOff>
      <xdr:row>233</xdr:row>
      <xdr:rowOff>169248</xdr:rowOff>
    </xdr:from>
    <xdr:to>
      <xdr:col>23</xdr:col>
      <xdr:colOff>52193</xdr:colOff>
      <xdr:row>233</xdr:row>
      <xdr:rowOff>380998</xdr:rowOff>
    </xdr:to>
    <xdr:sp macro="" textlink="">
      <xdr:nvSpPr>
        <xdr:cNvPr id="43" name="مستطيل 42">
          <a:hlinkClick xmlns:r="http://schemas.openxmlformats.org/officeDocument/2006/relationships" r:id="rId8"/>
          <a:extLst>
            <a:ext uri="{FF2B5EF4-FFF2-40B4-BE49-F238E27FC236}">
              <a16:creationId xmlns:a16="http://schemas.microsoft.com/office/drawing/2014/main" xmlns="" id="{00000000-0008-0000-0100-00002B000000}"/>
            </a:ext>
          </a:extLst>
        </xdr:cNvPr>
        <xdr:cNvSpPr/>
      </xdr:nvSpPr>
      <xdr:spPr>
        <a:xfrm>
          <a:off x="6377182" y="61491198"/>
          <a:ext cx="838257" cy="21175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32</xdr:col>
      <xdr:colOff>37864</xdr:colOff>
      <xdr:row>233</xdr:row>
      <xdr:rowOff>160230</xdr:rowOff>
    </xdr:from>
    <xdr:to>
      <xdr:col>47</xdr:col>
      <xdr:colOff>14671</xdr:colOff>
      <xdr:row>233</xdr:row>
      <xdr:rowOff>376230</xdr:rowOff>
    </xdr:to>
    <xdr:sp macro="" textlink="">
      <xdr:nvSpPr>
        <xdr:cNvPr id="44" name="مستطيل 43">
          <a:hlinkClick xmlns:r="http://schemas.openxmlformats.org/officeDocument/2006/relationships" r:id="rId9"/>
          <a:extLst>
            <a:ext uri="{FF2B5EF4-FFF2-40B4-BE49-F238E27FC236}">
              <a16:creationId xmlns:a16="http://schemas.microsoft.com/office/drawing/2014/main" xmlns="" id="{00000000-0008-0000-0100-00002C000000}"/>
            </a:ext>
          </a:extLst>
        </xdr:cNvPr>
        <xdr:cNvSpPr/>
      </xdr:nvSpPr>
      <xdr:spPr>
        <a:xfrm>
          <a:off x="4881179" y="61482180"/>
          <a:ext cx="910257"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76</xdr:col>
      <xdr:colOff>48782</xdr:colOff>
      <xdr:row>233</xdr:row>
      <xdr:rowOff>169361</xdr:rowOff>
    </xdr:from>
    <xdr:to>
      <xdr:col>89</xdr:col>
      <xdr:colOff>49474</xdr:colOff>
      <xdr:row>233</xdr:row>
      <xdr:rowOff>380998</xdr:rowOff>
    </xdr:to>
    <xdr:sp macro="" textlink="">
      <xdr:nvSpPr>
        <xdr:cNvPr id="45" name="مستطيل 44">
          <a:hlinkClick xmlns:r="http://schemas.openxmlformats.org/officeDocument/2006/relationships" r:id="rId10"/>
          <a:extLst>
            <a:ext uri="{FF2B5EF4-FFF2-40B4-BE49-F238E27FC236}">
              <a16:creationId xmlns:a16="http://schemas.microsoft.com/office/drawing/2014/main" xmlns="" id="{00000000-0008-0000-0100-00002D000000}"/>
            </a:ext>
          </a:extLst>
        </xdr:cNvPr>
        <xdr:cNvSpPr/>
      </xdr:nvSpPr>
      <xdr:spPr>
        <a:xfrm>
          <a:off x="2188901" y="61491311"/>
          <a:ext cx="800792" cy="2116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98</xdr:col>
      <xdr:colOff>8627</xdr:colOff>
      <xdr:row>233</xdr:row>
      <xdr:rowOff>178886</xdr:rowOff>
    </xdr:from>
    <xdr:to>
      <xdr:col>115</xdr:col>
      <xdr:colOff>42147</xdr:colOff>
      <xdr:row>233</xdr:row>
      <xdr:rowOff>394886</xdr:rowOff>
    </xdr:to>
    <xdr:sp macro="" textlink="">
      <xdr:nvSpPr>
        <xdr:cNvPr id="46" name="مستطيل 45">
          <a:extLst>
            <a:ext uri="{FF2B5EF4-FFF2-40B4-BE49-F238E27FC236}">
              <a16:creationId xmlns:a16="http://schemas.microsoft.com/office/drawing/2014/main" xmlns="" id="{00000000-0008-0000-0100-00002E000000}"/>
            </a:ext>
          </a:extLst>
        </xdr:cNvPr>
        <xdr:cNvSpPr/>
      </xdr:nvSpPr>
      <xdr:spPr>
        <a:xfrm>
          <a:off x="691278" y="61500836"/>
          <a:ext cx="1014595"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55</xdr:col>
      <xdr:colOff>43823</xdr:colOff>
      <xdr:row>233</xdr:row>
      <xdr:rowOff>179281</xdr:rowOff>
    </xdr:from>
    <xdr:to>
      <xdr:col>67</xdr:col>
      <xdr:colOff>15842</xdr:colOff>
      <xdr:row>233</xdr:row>
      <xdr:rowOff>395281</xdr:rowOff>
    </xdr:to>
    <xdr:sp macro="" textlink="">
      <xdr:nvSpPr>
        <xdr:cNvPr id="47" name="مستطيل 46">
          <a:hlinkClick xmlns:r="http://schemas.openxmlformats.org/officeDocument/2006/relationships" r:id="rId11"/>
          <a:extLst>
            <a:ext uri="{FF2B5EF4-FFF2-40B4-BE49-F238E27FC236}">
              <a16:creationId xmlns:a16="http://schemas.microsoft.com/office/drawing/2014/main" xmlns="" id="{00000000-0008-0000-0100-00002F000000}"/>
            </a:ext>
          </a:extLst>
        </xdr:cNvPr>
        <xdr:cNvSpPr/>
      </xdr:nvSpPr>
      <xdr:spPr>
        <a:xfrm>
          <a:off x="3556033" y="61501231"/>
          <a:ext cx="762594"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mc:AlternateContent xmlns:mc="http://schemas.openxmlformats.org/markup-compatibility/2006">
    <mc:Choice xmlns:a14="http://schemas.microsoft.com/office/drawing/2010/main" Requires="a14">
      <xdr:twoCellAnchor editAs="oneCell">
        <xdr:from>
          <xdr:col>24</xdr:col>
          <xdr:colOff>19050</xdr:colOff>
          <xdr:row>30</xdr:row>
          <xdr:rowOff>123825</xdr:rowOff>
        </xdr:from>
        <xdr:to>
          <xdr:col>32</xdr:col>
          <xdr:colOff>9525</xdr:colOff>
          <xdr:row>32</xdr:row>
          <xdr:rowOff>19050</xdr:rowOff>
        </xdr:to>
        <xdr:sp macro="" textlink="">
          <xdr:nvSpPr>
            <xdr:cNvPr id="24577" name="Check Box 1" hidden="1">
              <a:extLst>
                <a:ext uri="{63B3BB69-23CF-44E3-9099-C40C66FF867C}">
                  <a14:compatExt spid="_x0000_s24577"/>
                </a:ext>
                <a:ext uri="{FF2B5EF4-FFF2-40B4-BE49-F238E27FC236}">
                  <a16:creationId xmlns:a16="http://schemas.microsoft.com/office/drawing/2014/main" xmlns="" id="{00000000-0008-0000-01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الإيميل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0</xdr:colOff>
          <xdr:row>30</xdr:row>
          <xdr:rowOff>133350</xdr:rowOff>
        </xdr:from>
        <xdr:to>
          <xdr:col>81</xdr:col>
          <xdr:colOff>0</xdr:colOff>
          <xdr:row>32</xdr:row>
          <xdr:rowOff>28575</xdr:rowOff>
        </xdr:to>
        <xdr:sp macro="" textlink="">
          <xdr:nvSpPr>
            <xdr:cNvPr id="24578" name="Check Box 2" hidden="1">
              <a:extLst>
                <a:ext uri="{63B3BB69-23CF-44E3-9099-C40C66FF867C}">
                  <a14:compatExt spid="_x0000_s24578"/>
                </a:ext>
                <a:ext uri="{FF2B5EF4-FFF2-40B4-BE49-F238E27FC236}">
                  <a16:creationId xmlns:a16="http://schemas.microsoft.com/office/drawing/2014/main" xmlns="" id="{00000000-0008-0000-0100-000002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الساعات المكتبية.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19050</xdr:colOff>
          <xdr:row>30</xdr:row>
          <xdr:rowOff>133350</xdr:rowOff>
        </xdr:from>
        <xdr:to>
          <xdr:col>94</xdr:col>
          <xdr:colOff>19050</xdr:colOff>
          <xdr:row>32</xdr:row>
          <xdr:rowOff>19050</xdr:rowOff>
        </xdr:to>
        <xdr:sp macro="" textlink="">
          <xdr:nvSpPr>
            <xdr:cNvPr id="24579" name="Check Box 3" descr="أخرى" hidden="1">
              <a:extLst>
                <a:ext uri="{63B3BB69-23CF-44E3-9099-C40C66FF867C}">
                  <a14:compatExt spid="_x0000_s24579"/>
                </a:ext>
                <a:ext uri="{FF2B5EF4-FFF2-40B4-BE49-F238E27FC236}">
                  <a16:creationId xmlns:a16="http://schemas.microsoft.com/office/drawing/2014/main" xmlns="" id="{00000000-0008-0000-0100-000003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أخرى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50</xdr:row>
          <xdr:rowOff>123825</xdr:rowOff>
        </xdr:from>
        <xdr:to>
          <xdr:col>32</xdr:col>
          <xdr:colOff>0</xdr:colOff>
          <xdr:row>52</xdr:row>
          <xdr:rowOff>19050</xdr:rowOff>
        </xdr:to>
        <xdr:sp macro="" textlink="">
          <xdr:nvSpPr>
            <xdr:cNvPr id="24580" name="Check Box 4" hidden="1">
              <a:extLst>
                <a:ext uri="{63B3BB69-23CF-44E3-9099-C40C66FF867C}">
                  <a14:compatExt spid="_x0000_s24580"/>
                </a:ext>
                <a:ext uri="{FF2B5EF4-FFF2-40B4-BE49-F238E27FC236}">
                  <a16:creationId xmlns:a16="http://schemas.microsoft.com/office/drawing/2014/main" xmlns="" id="{00000000-0008-0000-0100-000004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الإيميل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0</xdr:colOff>
          <xdr:row>50</xdr:row>
          <xdr:rowOff>133350</xdr:rowOff>
        </xdr:from>
        <xdr:to>
          <xdr:col>80</xdr:col>
          <xdr:colOff>38100</xdr:colOff>
          <xdr:row>52</xdr:row>
          <xdr:rowOff>28575</xdr:rowOff>
        </xdr:to>
        <xdr:sp macro="" textlink="">
          <xdr:nvSpPr>
            <xdr:cNvPr id="24581" name="Check Box 5" hidden="1">
              <a:extLst>
                <a:ext uri="{63B3BB69-23CF-44E3-9099-C40C66FF867C}">
                  <a14:compatExt spid="_x0000_s24581"/>
                </a:ext>
                <a:ext uri="{FF2B5EF4-FFF2-40B4-BE49-F238E27FC236}">
                  <a16:creationId xmlns:a16="http://schemas.microsoft.com/office/drawing/2014/main" xmlns="" id="{00000000-0008-0000-0100-000005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الساعات المكتبية.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19050</xdr:colOff>
          <xdr:row>50</xdr:row>
          <xdr:rowOff>133350</xdr:rowOff>
        </xdr:from>
        <xdr:to>
          <xdr:col>94</xdr:col>
          <xdr:colOff>19050</xdr:colOff>
          <xdr:row>52</xdr:row>
          <xdr:rowOff>19050</xdr:rowOff>
        </xdr:to>
        <xdr:sp macro="" textlink="">
          <xdr:nvSpPr>
            <xdr:cNvPr id="24582" name="Check Box 6" descr="أخرى" hidden="1">
              <a:extLst>
                <a:ext uri="{63B3BB69-23CF-44E3-9099-C40C66FF867C}">
                  <a14:compatExt spid="_x0000_s24582"/>
                </a:ext>
                <a:ext uri="{FF2B5EF4-FFF2-40B4-BE49-F238E27FC236}">
                  <a16:creationId xmlns:a16="http://schemas.microsoft.com/office/drawing/2014/main" xmlns="" id="{00000000-0008-0000-0100-000006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أخرى</a:t>
              </a:r>
            </a:p>
          </xdr:txBody>
        </xdr:sp>
        <xdr:clientData/>
      </xdr:twoCellAnchor>
    </mc:Choice>
    <mc:Fallback/>
  </mc:AlternateContent>
  <xdr:twoCellAnchor>
    <xdr:from>
      <xdr:col>80</xdr:col>
      <xdr:colOff>47162</xdr:colOff>
      <xdr:row>184</xdr:row>
      <xdr:rowOff>192232</xdr:rowOff>
    </xdr:from>
    <xdr:to>
      <xdr:col>91</xdr:col>
      <xdr:colOff>33023</xdr:colOff>
      <xdr:row>184</xdr:row>
      <xdr:rowOff>300232</xdr:rowOff>
    </xdr:to>
    <xdr:sp macro="" textlink="">
      <xdr:nvSpPr>
        <xdr:cNvPr id="48" name="مستطيل 47">
          <a:hlinkClick xmlns:r="http://schemas.openxmlformats.org/officeDocument/2006/relationships" r:id="rId4"/>
          <a:extLst>
            <a:ext uri="{FF2B5EF4-FFF2-40B4-BE49-F238E27FC236}">
              <a16:creationId xmlns:a16="http://schemas.microsoft.com/office/drawing/2014/main" xmlns="" id="{00000000-0008-0000-0100-000030000000}"/>
            </a:ext>
          </a:extLst>
        </xdr:cNvPr>
        <xdr:cNvSpPr/>
      </xdr:nvSpPr>
      <xdr:spPr>
        <a:xfrm>
          <a:off x="2110102" y="51627232"/>
          <a:ext cx="614511" cy="108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85</xdr:col>
      <xdr:colOff>8659</xdr:colOff>
      <xdr:row>203</xdr:row>
      <xdr:rowOff>155864</xdr:rowOff>
    </xdr:from>
    <xdr:to>
      <xdr:col>117</xdr:col>
      <xdr:colOff>43295</xdr:colOff>
      <xdr:row>203</xdr:row>
      <xdr:rowOff>346363</xdr:rowOff>
    </xdr:to>
    <xdr:sp macro="" textlink="">
      <xdr:nvSpPr>
        <xdr:cNvPr id="49" name="مربع نص 48">
          <a:hlinkClick xmlns:r="http://schemas.openxmlformats.org/officeDocument/2006/relationships" r:id="rId5"/>
          <a:extLst>
            <a:ext uri="{FF2B5EF4-FFF2-40B4-BE49-F238E27FC236}">
              <a16:creationId xmlns:a16="http://schemas.microsoft.com/office/drawing/2014/main" xmlns="" id="{00000000-0008-0000-0100-000031000000}"/>
            </a:ext>
          </a:extLst>
        </xdr:cNvPr>
        <xdr:cNvSpPr txBox="1"/>
      </xdr:nvSpPr>
      <xdr:spPr>
        <a:xfrm>
          <a:off x="556780" y="54934139"/>
          <a:ext cx="193963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51955</xdr:colOff>
      <xdr:row>205</xdr:row>
      <xdr:rowOff>155863</xdr:rowOff>
    </xdr:from>
    <xdr:to>
      <xdr:col>117</xdr:col>
      <xdr:colOff>17318</xdr:colOff>
      <xdr:row>205</xdr:row>
      <xdr:rowOff>346362</xdr:rowOff>
    </xdr:to>
    <xdr:sp macro="" textlink="">
      <xdr:nvSpPr>
        <xdr:cNvPr id="50" name="مربع نص 49">
          <a:hlinkClick xmlns:r="http://schemas.openxmlformats.org/officeDocument/2006/relationships" r:id="rId6"/>
          <a:extLst>
            <a:ext uri="{FF2B5EF4-FFF2-40B4-BE49-F238E27FC236}">
              <a16:creationId xmlns:a16="http://schemas.microsoft.com/office/drawing/2014/main" xmlns="" id="{00000000-0008-0000-0100-000032000000}"/>
            </a:ext>
          </a:extLst>
        </xdr:cNvPr>
        <xdr:cNvSpPr txBox="1"/>
      </xdr:nvSpPr>
      <xdr:spPr>
        <a:xfrm>
          <a:off x="582757" y="55496113"/>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60614</xdr:colOff>
      <xdr:row>207</xdr:row>
      <xdr:rowOff>163656</xdr:rowOff>
    </xdr:from>
    <xdr:to>
      <xdr:col>117</xdr:col>
      <xdr:colOff>25977</xdr:colOff>
      <xdr:row>207</xdr:row>
      <xdr:rowOff>354155</xdr:rowOff>
    </xdr:to>
    <xdr:sp macro="" textlink="">
      <xdr:nvSpPr>
        <xdr:cNvPr id="51" name="مربع نص 50">
          <a:hlinkClick xmlns:r="http://schemas.openxmlformats.org/officeDocument/2006/relationships" r:id="rId7"/>
          <a:extLst>
            <a:ext uri="{FF2B5EF4-FFF2-40B4-BE49-F238E27FC236}">
              <a16:creationId xmlns:a16="http://schemas.microsoft.com/office/drawing/2014/main" xmlns="" id="{00000000-0008-0000-0100-000033000000}"/>
            </a:ext>
          </a:extLst>
        </xdr:cNvPr>
        <xdr:cNvSpPr txBox="1"/>
      </xdr:nvSpPr>
      <xdr:spPr>
        <a:xfrm>
          <a:off x="574098" y="56065881"/>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8659</xdr:colOff>
      <xdr:row>203</xdr:row>
      <xdr:rowOff>155864</xdr:rowOff>
    </xdr:from>
    <xdr:to>
      <xdr:col>116</xdr:col>
      <xdr:colOff>43295</xdr:colOff>
      <xdr:row>203</xdr:row>
      <xdr:rowOff>346363</xdr:rowOff>
    </xdr:to>
    <xdr:sp macro="" textlink="">
      <xdr:nvSpPr>
        <xdr:cNvPr id="52" name="مربع نص 51">
          <a:hlinkClick xmlns:r="http://schemas.openxmlformats.org/officeDocument/2006/relationships" r:id="rId5"/>
          <a:extLst>
            <a:ext uri="{FF2B5EF4-FFF2-40B4-BE49-F238E27FC236}">
              <a16:creationId xmlns:a16="http://schemas.microsoft.com/office/drawing/2014/main" xmlns="" id="{00000000-0008-0000-0100-000034000000}"/>
            </a:ext>
          </a:extLst>
        </xdr:cNvPr>
        <xdr:cNvSpPr txBox="1"/>
      </xdr:nvSpPr>
      <xdr:spPr>
        <a:xfrm>
          <a:off x="623455" y="54934139"/>
          <a:ext cx="193963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51955</xdr:colOff>
      <xdr:row>205</xdr:row>
      <xdr:rowOff>155863</xdr:rowOff>
    </xdr:from>
    <xdr:to>
      <xdr:col>116</xdr:col>
      <xdr:colOff>17318</xdr:colOff>
      <xdr:row>205</xdr:row>
      <xdr:rowOff>346362</xdr:rowOff>
    </xdr:to>
    <xdr:sp macro="" textlink="">
      <xdr:nvSpPr>
        <xdr:cNvPr id="53" name="مربع نص 52">
          <a:hlinkClick xmlns:r="http://schemas.openxmlformats.org/officeDocument/2006/relationships" r:id="rId6"/>
          <a:extLst>
            <a:ext uri="{FF2B5EF4-FFF2-40B4-BE49-F238E27FC236}">
              <a16:creationId xmlns:a16="http://schemas.microsoft.com/office/drawing/2014/main" xmlns="" id="{00000000-0008-0000-0100-000035000000}"/>
            </a:ext>
          </a:extLst>
        </xdr:cNvPr>
        <xdr:cNvSpPr txBox="1"/>
      </xdr:nvSpPr>
      <xdr:spPr>
        <a:xfrm>
          <a:off x="649432" y="55496113"/>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60614</xdr:colOff>
      <xdr:row>207</xdr:row>
      <xdr:rowOff>163656</xdr:rowOff>
    </xdr:from>
    <xdr:to>
      <xdr:col>116</xdr:col>
      <xdr:colOff>25977</xdr:colOff>
      <xdr:row>207</xdr:row>
      <xdr:rowOff>354155</xdr:rowOff>
    </xdr:to>
    <xdr:sp macro="" textlink="">
      <xdr:nvSpPr>
        <xdr:cNvPr id="54" name="مربع نص 53">
          <a:hlinkClick xmlns:r="http://schemas.openxmlformats.org/officeDocument/2006/relationships" r:id="rId7"/>
          <a:extLst>
            <a:ext uri="{FF2B5EF4-FFF2-40B4-BE49-F238E27FC236}">
              <a16:creationId xmlns:a16="http://schemas.microsoft.com/office/drawing/2014/main" xmlns="" id="{00000000-0008-0000-0100-000036000000}"/>
            </a:ext>
          </a:extLst>
        </xdr:cNvPr>
        <xdr:cNvSpPr txBox="1"/>
      </xdr:nvSpPr>
      <xdr:spPr>
        <a:xfrm>
          <a:off x="640773" y="56065881"/>
          <a:ext cx="193703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1</xdr:col>
      <xdr:colOff>44568</xdr:colOff>
      <xdr:row>133</xdr:row>
      <xdr:rowOff>28575</xdr:rowOff>
    </xdr:from>
    <xdr:to>
      <xdr:col>121</xdr:col>
      <xdr:colOff>56127</xdr:colOff>
      <xdr:row>133</xdr:row>
      <xdr:rowOff>514544</xdr:rowOff>
    </xdr:to>
    <xdr:sp macro="" textlink="">
      <xdr:nvSpPr>
        <xdr:cNvPr id="27" name="مستطيل: زوايا علوية مستديرة 148">
          <a:extLst>
            <a:ext uri="{FF2B5EF4-FFF2-40B4-BE49-F238E27FC236}">
              <a16:creationId xmlns:a16="http://schemas.microsoft.com/office/drawing/2014/main" xmlns="" id="{00000000-0008-0000-0100-00001B000000}"/>
            </a:ext>
          </a:extLst>
        </xdr:cNvPr>
        <xdr:cNvSpPr/>
      </xdr:nvSpPr>
      <xdr:spPr>
        <a:xfrm>
          <a:off x="265342" y="32794575"/>
          <a:ext cx="7423200" cy="48596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الخطة التدريبية</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39687</xdr:colOff>
      <xdr:row>145</xdr:row>
      <xdr:rowOff>412750</xdr:rowOff>
    </xdr:from>
    <xdr:to>
      <xdr:col>56</xdr:col>
      <xdr:colOff>16608</xdr:colOff>
      <xdr:row>145</xdr:row>
      <xdr:rowOff>2634380</xdr:rowOff>
    </xdr:to>
    <xdr:pic>
      <xdr:nvPicPr>
        <xdr:cNvPr id="4" name="صورة 3">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a:stretch>
          <a:fillRect/>
        </a:stretch>
      </xdr:blipFill>
      <xdr:spPr>
        <a:xfrm>
          <a:off x="4079142" y="36456938"/>
          <a:ext cx="3143983" cy="2221630"/>
        </a:xfrm>
        <a:prstGeom prst="rect">
          <a:avLst/>
        </a:prstGeom>
      </xdr:spPr>
    </xdr:pic>
    <xdr:clientData/>
  </xdr:twoCellAnchor>
  <xdr:twoCellAnchor editAs="oneCell">
    <xdr:from>
      <xdr:col>64</xdr:col>
      <xdr:colOff>4597</xdr:colOff>
      <xdr:row>145</xdr:row>
      <xdr:rowOff>415530</xdr:rowOff>
    </xdr:from>
    <xdr:to>
      <xdr:col>109</xdr:col>
      <xdr:colOff>46891</xdr:colOff>
      <xdr:row>145</xdr:row>
      <xdr:rowOff>2980303</xdr:rowOff>
    </xdr:to>
    <xdr:pic>
      <xdr:nvPicPr>
        <xdr:cNvPr id="54" name="صورة 53">
          <a:extLst>
            <a:ext uri="{FF2B5EF4-FFF2-40B4-BE49-F238E27FC236}">
              <a16:creationId xmlns:a16="http://schemas.microsoft.com/office/drawing/2014/main" xmlns="" id="{00000000-0008-0000-0200-000036000000}"/>
            </a:ext>
          </a:extLst>
        </xdr:cNvPr>
        <xdr:cNvPicPr>
          <a:picLocks noChangeAspect="1"/>
        </xdr:cNvPicPr>
      </xdr:nvPicPr>
      <xdr:blipFill>
        <a:blip xmlns:r="http://schemas.openxmlformats.org/officeDocument/2006/relationships" r:embed="rId2"/>
        <a:stretch>
          <a:fillRect/>
        </a:stretch>
      </xdr:blipFill>
      <xdr:spPr>
        <a:xfrm>
          <a:off x="1012611" y="36386012"/>
          <a:ext cx="2785988" cy="2564773"/>
        </a:xfrm>
        <a:prstGeom prst="rect">
          <a:avLst/>
        </a:prstGeom>
      </xdr:spPr>
    </xdr:pic>
    <xdr:clientData/>
  </xdr:twoCellAnchor>
  <xdr:twoCellAnchor>
    <xdr:from>
      <xdr:col>1</xdr:col>
      <xdr:colOff>38100</xdr:colOff>
      <xdr:row>75</xdr:row>
      <xdr:rowOff>25399</xdr:rowOff>
    </xdr:from>
    <xdr:to>
      <xdr:col>122</xdr:col>
      <xdr:colOff>8900</xdr:colOff>
      <xdr:row>113</xdr:row>
      <xdr:rowOff>19049</xdr:rowOff>
    </xdr:to>
    <xdr:grpSp>
      <xdr:nvGrpSpPr>
        <xdr:cNvPr id="14" name="مجموعة 13">
          <a:extLst>
            <a:ext uri="{FF2B5EF4-FFF2-40B4-BE49-F238E27FC236}">
              <a16:creationId xmlns:a16="http://schemas.microsoft.com/office/drawing/2014/main" xmlns="" id="{00000000-0008-0000-0200-00000E000000}"/>
            </a:ext>
          </a:extLst>
        </xdr:cNvPr>
        <xdr:cNvGrpSpPr/>
      </xdr:nvGrpSpPr>
      <xdr:grpSpPr>
        <a:xfrm>
          <a:off x="248275" y="11722099"/>
          <a:ext cx="7533650" cy="9947275"/>
          <a:chOff x="250569" y="1445426"/>
          <a:chExt cx="7442302" cy="10059061"/>
        </a:xfrm>
      </xdr:grpSpPr>
      <xdr:sp macro="" textlink="">
        <xdr:nvSpPr>
          <xdr:cNvPr id="15" name="مستطيل: زوايا علوية مستديرة 148">
            <a:extLst>
              <a:ext uri="{FF2B5EF4-FFF2-40B4-BE49-F238E27FC236}">
                <a16:creationId xmlns:a16="http://schemas.microsoft.com/office/drawing/2014/main" xmlns="" id="{00000000-0008-0000-0200-00000F000000}"/>
              </a:ext>
            </a:extLst>
          </xdr:cNvPr>
          <xdr:cNvSpPr/>
        </xdr:nvSpPr>
        <xdr:spPr>
          <a:xfrm>
            <a:off x="250569" y="1445426"/>
            <a:ext cx="7442301" cy="491462"/>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بيانات المقرر  التدريبي</a:t>
            </a:r>
          </a:p>
        </xdr:txBody>
      </xdr:sp>
      <xdr:sp macro="" textlink="">
        <xdr:nvSpPr>
          <xdr:cNvPr id="16" name="مستطيل: زاوية واحدة مستديرة 149">
            <a:extLst>
              <a:ext uri="{FF2B5EF4-FFF2-40B4-BE49-F238E27FC236}">
                <a16:creationId xmlns:a16="http://schemas.microsoft.com/office/drawing/2014/main" xmlns="" id="{00000000-0008-0000-0200-000010000000}"/>
              </a:ext>
            </a:extLst>
          </xdr:cNvPr>
          <xdr:cNvSpPr/>
        </xdr:nvSpPr>
        <xdr:spPr>
          <a:xfrm>
            <a:off x="250569" y="1930240"/>
            <a:ext cx="7442302" cy="9574247"/>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mc:AlternateContent xmlns:mc="http://schemas.openxmlformats.org/markup-compatibility/2006">
    <mc:Choice xmlns:a14="http://schemas.microsoft.com/office/drawing/2010/main" Requires="a14">
      <xdr:twoCellAnchor editAs="oneCell">
        <xdr:from>
          <xdr:col>24</xdr:col>
          <xdr:colOff>28575</xdr:colOff>
          <xdr:row>30</xdr:row>
          <xdr:rowOff>123825</xdr:rowOff>
        </xdr:from>
        <xdr:to>
          <xdr:col>32</xdr:col>
          <xdr:colOff>9525</xdr:colOff>
          <xdr:row>32</xdr:row>
          <xdr:rowOff>19050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xmlns="" id="{00000000-0008-0000-02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الإيميل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0</xdr:colOff>
          <xdr:row>30</xdr:row>
          <xdr:rowOff>133350</xdr:rowOff>
        </xdr:from>
        <xdr:to>
          <xdr:col>80</xdr:col>
          <xdr:colOff>57150</xdr:colOff>
          <xdr:row>32</xdr:row>
          <xdr:rowOff>28575</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xmlns="" id="{00000000-0008-0000-02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الساعات المكتبية.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28575</xdr:colOff>
          <xdr:row>30</xdr:row>
          <xdr:rowOff>133350</xdr:rowOff>
        </xdr:from>
        <xdr:to>
          <xdr:col>94</xdr:col>
          <xdr:colOff>28575</xdr:colOff>
          <xdr:row>32</xdr:row>
          <xdr:rowOff>19050</xdr:rowOff>
        </xdr:to>
        <xdr:sp macro="" textlink="">
          <xdr:nvSpPr>
            <xdr:cNvPr id="13315" name="Check Box 3" descr="أخرى" hidden="1">
              <a:extLst>
                <a:ext uri="{63B3BB69-23CF-44E3-9099-C40C66FF867C}">
                  <a14:compatExt spid="_x0000_s13315"/>
                </a:ext>
                <a:ext uri="{FF2B5EF4-FFF2-40B4-BE49-F238E27FC236}">
                  <a16:creationId xmlns:a16="http://schemas.microsoft.com/office/drawing/2014/main" xmlns="" id="{00000000-0008-0000-02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أخرى</a:t>
              </a:r>
            </a:p>
          </xdr:txBody>
        </xdr:sp>
        <xdr:clientData/>
      </xdr:twoCellAnchor>
    </mc:Choice>
    <mc:Fallback/>
  </mc:AlternateContent>
  <xdr:twoCellAnchor>
    <xdr:from>
      <xdr:col>1</xdr:col>
      <xdr:colOff>34637</xdr:colOff>
      <xdr:row>10</xdr:row>
      <xdr:rowOff>25976</xdr:rowOff>
    </xdr:from>
    <xdr:to>
      <xdr:col>122</xdr:col>
      <xdr:colOff>5437</xdr:colOff>
      <xdr:row>24</xdr:row>
      <xdr:rowOff>7267</xdr:rowOff>
    </xdr:to>
    <xdr:grpSp>
      <xdr:nvGrpSpPr>
        <xdr:cNvPr id="32" name="مجموعة 31">
          <a:extLst>
            <a:ext uri="{FF2B5EF4-FFF2-40B4-BE49-F238E27FC236}">
              <a16:creationId xmlns:a16="http://schemas.microsoft.com/office/drawing/2014/main" xmlns="" id="{00000000-0008-0000-0200-000020000000}"/>
            </a:ext>
          </a:extLst>
        </xdr:cNvPr>
        <xdr:cNvGrpSpPr/>
      </xdr:nvGrpSpPr>
      <xdr:grpSpPr>
        <a:xfrm>
          <a:off x="251738" y="1473776"/>
          <a:ext cx="7533650" cy="2495891"/>
          <a:chOff x="250569" y="1445425"/>
          <a:chExt cx="7442302" cy="2517833"/>
        </a:xfrm>
      </xdr:grpSpPr>
      <xdr:sp macro="" textlink="">
        <xdr:nvSpPr>
          <xdr:cNvPr id="33" name="مستطيل: زوايا علوية مستديرة 148">
            <a:extLst>
              <a:ext uri="{FF2B5EF4-FFF2-40B4-BE49-F238E27FC236}">
                <a16:creationId xmlns:a16="http://schemas.microsoft.com/office/drawing/2014/main" xmlns="" id="{00000000-0008-0000-0200-000021000000}"/>
              </a:ext>
            </a:extLst>
          </xdr:cNvPr>
          <xdr:cNvSpPr/>
        </xdr:nvSpPr>
        <xdr:spPr>
          <a:xfrm>
            <a:off x="250569" y="1445425"/>
            <a:ext cx="7442301" cy="490273"/>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بيانات المدرب</a:t>
            </a:r>
          </a:p>
        </xdr:txBody>
      </xdr:sp>
      <xdr:sp macro="" textlink="">
        <xdr:nvSpPr>
          <xdr:cNvPr id="34" name="مستطيل: زاوية واحدة مستديرة 149">
            <a:extLst>
              <a:ext uri="{FF2B5EF4-FFF2-40B4-BE49-F238E27FC236}">
                <a16:creationId xmlns:a16="http://schemas.microsoft.com/office/drawing/2014/main" xmlns="" id="{00000000-0008-0000-0200-000022000000}"/>
              </a:ext>
            </a:extLst>
          </xdr:cNvPr>
          <xdr:cNvSpPr/>
        </xdr:nvSpPr>
        <xdr:spPr>
          <a:xfrm>
            <a:off x="250569" y="1936688"/>
            <a:ext cx="7442302" cy="2026570"/>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34636</xdr:colOff>
      <xdr:row>26</xdr:row>
      <xdr:rowOff>25976</xdr:rowOff>
    </xdr:from>
    <xdr:to>
      <xdr:col>122</xdr:col>
      <xdr:colOff>5436</xdr:colOff>
      <xdr:row>72</xdr:row>
      <xdr:rowOff>16193</xdr:rowOff>
    </xdr:to>
    <xdr:grpSp>
      <xdr:nvGrpSpPr>
        <xdr:cNvPr id="38" name="مجموعة 37">
          <a:extLst>
            <a:ext uri="{FF2B5EF4-FFF2-40B4-BE49-F238E27FC236}">
              <a16:creationId xmlns:a16="http://schemas.microsoft.com/office/drawing/2014/main" xmlns="" id="{00000000-0008-0000-0200-000026000000}"/>
            </a:ext>
          </a:extLst>
        </xdr:cNvPr>
        <xdr:cNvGrpSpPr/>
      </xdr:nvGrpSpPr>
      <xdr:grpSpPr>
        <a:xfrm>
          <a:off x="251739" y="4236026"/>
          <a:ext cx="7533650" cy="7172067"/>
          <a:chOff x="250569" y="1445425"/>
          <a:chExt cx="7442302" cy="7263135"/>
        </a:xfrm>
      </xdr:grpSpPr>
      <xdr:sp macro="" textlink="">
        <xdr:nvSpPr>
          <xdr:cNvPr id="39" name="مستطيل: زوايا علوية مستديرة 148">
            <a:extLst>
              <a:ext uri="{FF2B5EF4-FFF2-40B4-BE49-F238E27FC236}">
                <a16:creationId xmlns:a16="http://schemas.microsoft.com/office/drawing/2014/main" xmlns="" id="{00000000-0008-0000-0200-000027000000}"/>
              </a:ext>
            </a:extLst>
          </xdr:cNvPr>
          <xdr:cNvSpPr/>
        </xdr:nvSpPr>
        <xdr:spPr>
          <a:xfrm>
            <a:off x="250569" y="1445425"/>
            <a:ext cx="7442301" cy="492171"/>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وسيلة التواصل</a:t>
            </a:r>
          </a:p>
        </xdr:txBody>
      </xdr:sp>
      <xdr:sp macro="" textlink="">
        <xdr:nvSpPr>
          <xdr:cNvPr id="40" name="مستطيل: زاوية واحدة مستديرة 149">
            <a:extLst>
              <a:ext uri="{FF2B5EF4-FFF2-40B4-BE49-F238E27FC236}">
                <a16:creationId xmlns:a16="http://schemas.microsoft.com/office/drawing/2014/main" xmlns="" id="{00000000-0008-0000-0200-000028000000}"/>
              </a:ext>
            </a:extLst>
          </xdr:cNvPr>
          <xdr:cNvSpPr/>
        </xdr:nvSpPr>
        <xdr:spPr>
          <a:xfrm>
            <a:off x="250569" y="1936649"/>
            <a:ext cx="7442302" cy="6771911"/>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38100</xdr:colOff>
      <xdr:row>116</xdr:row>
      <xdr:rowOff>28575</xdr:rowOff>
    </xdr:from>
    <xdr:to>
      <xdr:col>122</xdr:col>
      <xdr:colOff>8900</xdr:colOff>
      <xdr:row>130</xdr:row>
      <xdr:rowOff>28575</xdr:rowOff>
    </xdr:to>
    <xdr:grpSp>
      <xdr:nvGrpSpPr>
        <xdr:cNvPr id="41" name="مجموعة 40">
          <a:extLst>
            <a:ext uri="{FF2B5EF4-FFF2-40B4-BE49-F238E27FC236}">
              <a16:creationId xmlns:a16="http://schemas.microsoft.com/office/drawing/2014/main" xmlns="" id="{00000000-0008-0000-0200-000029000000}"/>
            </a:ext>
          </a:extLst>
        </xdr:cNvPr>
        <xdr:cNvGrpSpPr/>
      </xdr:nvGrpSpPr>
      <xdr:grpSpPr>
        <a:xfrm>
          <a:off x="248275" y="21983700"/>
          <a:ext cx="7533650" cy="10115550"/>
          <a:chOff x="250569" y="1445426"/>
          <a:chExt cx="7442302" cy="10210242"/>
        </a:xfrm>
      </xdr:grpSpPr>
      <xdr:sp macro="" textlink="">
        <xdr:nvSpPr>
          <xdr:cNvPr id="42" name="مستطيل: زوايا علوية مستديرة 148">
            <a:extLst>
              <a:ext uri="{FF2B5EF4-FFF2-40B4-BE49-F238E27FC236}">
                <a16:creationId xmlns:a16="http://schemas.microsoft.com/office/drawing/2014/main" xmlns="" id="{00000000-0008-0000-0200-00002A000000}"/>
              </a:ext>
            </a:extLst>
          </xdr:cNvPr>
          <xdr:cNvSpPr/>
        </xdr:nvSpPr>
        <xdr:spPr>
          <a:xfrm>
            <a:off x="250569" y="1445426"/>
            <a:ext cx="7442301" cy="49054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متطلبات التدريب في المقرر التدريبي</a:t>
            </a:r>
          </a:p>
        </xdr:txBody>
      </xdr:sp>
      <xdr:sp macro="" textlink="">
        <xdr:nvSpPr>
          <xdr:cNvPr id="43" name="مستطيل: زاوية واحدة مستديرة 149">
            <a:extLst>
              <a:ext uri="{FF2B5EF4-FFF2-40B4-BE49-F238E27FC236}">
                <a16:creationId xmlns:a16="http://schemas.microsoft.com/office/drawing/2014/main" xmlns="" id="{00000000-0008-0000-0200-00002B000000}"/>
              </a:ext>
            </a:extLst>
          </xdr:cNvPr>
          <xdr:cNvSpPr/>
        </xdr:nvSpPr>
        <xdr:spPr>
          <a:xfrm>
            <a:off x="250569" y="1935748"/>
            <a:ext cx="7442302" cy="9719920"/>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editAs="oneCell">
    <xdr:from>
      <xdr:col>21</xdr:col>
      <xdr:colOff>28406</xdr:colOff>
      <xdr:row>81</xdr:row>
      <xdr:rowOff>38101</xdr:rowOff>
    </xdr:from>
    <xdr:to>
      <xdr:col>101</xdr:col>
      <xdr:colOff>38109</xdr:colOff>
      <xdr:row>82</xdr:row>
      <xdr:rowOff>3457379</xdr:rowOff>
    </xdr:to>
    <xdr:pic>
      <xdr:nvPicPr>
        <xdr:cNvPr id="52" name="صورة 51">
          <a:extLst>
            <a:ext uri="{FF2B5EF4-FFF2-40B4-BE49-F238E27FC236}">
              <a16:creationId xmlns:a16="http://schemas.microsoft.com/office/drawing/2014/main" xmlns="" id="{00000000-0008-0000-0200-000034000000}"/>
            </a:ext>
          </a:extLst>
        </xdr:cNvPr>
        <xdr:cNvPicPr>
          <a:picLocks noChangeAspect="1"/>
        </xdr:cNvPicPr>
      </xdr:nvPicPr>
      <xdr:blipFill>
        <a:blip xmlns:r="http://schemas.openxmlformats.org/officeDocument/2006/relationships" r:embed="rId3"/>
        <a:stretch>
          <a:fillRect/>
        </a:stretch>
      </xdr:blipFill>
      <xdr:spPr>
        <a:xfrm>
          <a:off x="1476366" y="13525501"/>
          <a:ext cx="5048428" cy="3476428"/>
        </a:xfrm>
        <a:prstGeom prst="rect">
          <a:avLst/>
        </a:prstGeom>
      </xdr:spPr>
    </xdr:pic>
    <xdr:clientData/>
  </xdr:twoCellAnchor>
  <xdr:twoCellAnchor editAs="oneCell">
    <xdr:from>
      <xdr:col>21</xdr:col>
      <xdr:colOff>14907</xdr:colOff>
      <xdr:row>118</xdr:row>
      <xdr:rowOff>47625</xdr:rowOff>
    </xdr:from>
    <xdr:to>
      <xdr:col>101</xdr:col>
      <xdr:colOff>29372</xdr:colOff>
      <xdr:row>118</xdr:row>
      <xdr:rowOff>2109243</xdr:rowOff>
    </xdr:to>
    <xdr:pic>
      <xdr:nvPicPr>
        <xdr:cNvPr id="55" name="صورة 54">
          <a:extLst>
            <a:ext uri="{FF2B5EF4-FFF2-40B4-BE49-F238E27FC236}">
              <a16:creationId xmlns:a16="http://schemas.microsoft.com/office/drawing/2014/main" xmlns="" id="{00000000-0008-0000-0200-000037000000}"/>
            </a:ext>
          </a:extLst>
        </xdr:cNvPr>
        <xdr:cNvPicPr>
          <a:picLocks noChangeAspect="1"/>
        </xdr:cNvPicPr>
      </xdr:nvPicPr>
      <xdr:blipFill>
        <a:blip xmlns:r="http://schemas.openxmlformats.org/officeDocument/2006/relationships" r:embed="rId4"/>
        <a:stretch>
          <a:fillRect/>
        </a:stretch>
      </xdr:blipFill>
      <xdr:spPr>
        <a:xfrm>
          <a:off x="1572112" y="22776656"/>
          <a:ext cx="5401950" cy="2061618"/>
        </a:xfrm>
        <a:prstGeom prst="rect">
          <a:avLst/>
        </a:prstGeom>
      </xdr:spPr>
    </xdr:pic>
    <xdr:clientData/>
  </xdr:twoCellAnchor>
  <xdr:twoCellAnchor editAs="oneCell">
    <xdr:from>
      <xdr:col>21</xdr:col>
      <xdr:colOff>14904</xdr:colOff>
      <xdr:row>124</xdr:row>
      <xdr:rowOff>133350</xdr:rowOff>
    </xdr:from>
    <xdr:to>
      <xdr:col>101</xdr:col>
      <xdr:colOff>29369</xdr:colOff>
      <xdr:row>125</xdr:row>
      <xdr:rowOff>42060</xdr:rowOff>
    </xdr:to>
    <xdr:pic>
      <xdr:nvPicPr>
        <xdr:cNvPr id="57" name="صورة 56">
          <a:extLst>
            <a:ext uri="{FF2B5EF4-FFF2-40B4-BE49-F238E27FC236}">
              <a16:creationId xmlns:a16="http://schemas.microsoft.com/office/drawing/2014/main" xmlns="" id="{00000000-0008-0000-0200-000039000000}"/>
            </a:ext>
          </a:extLst>
        </xdr:cNvPr>
        <xdr:cNvPicPr>
          <a:picLocks noChangeAspect="1"/>
        </xdr:cNvPicPr>
      </xdr:nvPicPr>
      <xdr:blipFill>
        <a:blip xmlns:r="http://schemas.openxmlformats.org/officeDocument/2006/relationships" r:embed="rId5"/>
        <a:stretch>
          <a:fillRect/>
        </a:stretch>
      </xdr:blipFill>
      <xdr:spPr>
        <a:xfrm>
          <a:off x="1572115" y="27458194"/>
          <a:ext cx="5401950" cy="2004210"/>
        </a:xfrm>
        <a:prstGeom prst="rect">
          <a:avLst/>
        </a:prstGeom>
      </xdr:spPr>
    </xdr:pic>
    <xdr:clientData/>
  </xdr:twoCellAnchor>
  <xdr:twoCellAnchor>
    <xdr:from>
      <xdr:col>3</xdr:col>
      <xdr:colOff>11406</xdr:colOff>
      <xdr:row>82</xdr:row>
      <xdr:rowOff>1882778</xdr:rowOff>
    </xdr:from>
    <xdr:to>
      <xdr:col>118</xdr:col>
      <xdr:colOff>28261</xdr:colOff>
      <xdr:row>106</xdr:row>
      <xdr:rowOff>35453</xdr:rowOff>
    </xdr:to>
    <xdr:grpSp>
      <xdr:nvGrpSpPr>
        <xdr:cNvPr id="13350" name="مجموعة 13349">
          <a:extLst>
            <a:ext uri="{FF2B5EF4-FFF2-40B4-BE49-F238E27FC236}">
              <a16:creationId xmlns:a16="http://schemas.microsoft.com/office/drawing/2014/main" xmlns="" id="{00000000-0008-0000-0200-000026340000}"/>
            </a:ext>
          </a:extLst>
        </xdr:cNvPr>
        <xdr:cNvGrpSpPr/>
      </xdr:nvGrpSpPr>
      <xdr:grpSpPr>
        <a:xfrm>
          <a:off x="467039" y="15427328"/>
          <a:ext cx="7217755" cy="4963050"/>
          <a:chOff x="499278" y="15522608"/>
          <a:chExt cx="7006634" cy="4995881"/>
        </a:xfrm>
      </xdr:grpSpPr>
      <xdr:sp macro="" textlink="">
        <xdr:nvSpPr>
          <xdr:cNvPr id="13347" name="قوس متوسط أيمن 13346">
            <a:extLst>
              <a:ext uri="{FF2B5EF4-FFF2-40B4-BE49-F238E27FC236}">
                <a16:creationId xmlns:a16="http://schemas.microsoft.com/office/drawing/2014/main" xmlns="" id="{00000000-0008-0000-0200-000023340000}"/>
              </a:ext>
            </a:extLst>
          </xdr:cNvPr>
          <xdr:cNvSpPr/>
        </xdr:nvSpPr>
        <xdr:spPr>
          <a:xfrm>
            <a:off x="6308867" y="15522608"/>
            <a:ext cx="1197045" cy="4050282"/>
          </a:xfrm>
          <a:prstGeom prst="rightBracket">
            <a:avLst>
              <a:gd name="adj" fmla="val 0"/>
            </a:avLst>
          </a:prstGeom>
          <a:ln w="19050">
            <a:solidFill>
              <a:srgbClr val="FF0000"/>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48" name="مستطيل 13347">
            <a:extLst>
              <a:ext uri="{FF2B5EF4-FFF2-40B4-BE49-F238E27FC236}">
                <a16:creationId xmlns:a16="http://schemas.microsoft.com/office/drawing/2014/main" xmlns="" id="{00000000-0008-0000-0200-000024340000}"/>
              </a:ext>
            </a:extLst>
          </xdr:cNvPr>
          <xdr:cNvSpPr/>
        </xdr:nvSpPr>
        <xdr:spPr>
          <a:xfrm>
            <a:off x="1447095" y="15522609"/>
            <a:ext cx="4880216" cy="880621"/>
          </a:xfrm>
          <a:prstGeom prst="rect">
            <a:avLst/>
          </a:prstGeom>
          <a:noFill/>
          <a:ln w="19050">
            <a:solidFill>
              <a:srgbClr val="FF0000"/>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49" name="مستطيل 13348">
            <a:extLst>
              <a:ext uri="{FF2B5EF4-FFF2-40B4-BE49-F238E27FC236}">
                <a16:creationId xmlns:a16="http://schemas.microsoft.com/office/drawing/2014/main" xmlns="" id="{00000000-0008-0000-0200-000025340000}"/>
              </a:ext>
            </a:extLst>
          </xdr:cNvPr>
          <xdr:cNvSpPr/>
        </xdr:nvSpPr>
        <xdr:spPr>
          <a:xfrm>
            <a:off x="499278" y="19571689"/>
            <a:ext cx="6861600" cy="946800"/>
          </a:xfrm>
          <a:prstGeom prst="rect">
            <a:avLst/>
          </a:prstGeom>
          <a:noFill/>
          <a:ln w="19050">
            <a:solidFill>
              <a:srgbClr val="FF0000"/>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5</xdr:col>
      <xdr:colOff>41498</xdr:colOff>
      <xdr:row>82</xdr:row>
      <xdr:rowOff>2998520</xdr:rowOff>
    </xdr:from>
    <xdr:to>
      <xdr:col>120</xdr:col>
      <xdr:colOff>19054</xdr:colOff>
      <xdr:row>111</xdr:row>
      <xdr:rowOff>26913</xdr:rowOff>
    </xdr:to>
    <xdr:grpSp>
      <xdr:nvGrpSpPr>
        <xdr:cNvPr id="13355" name="مجموعة 13354">
          <a:extLst>
            <a:ext uri="{FF2B5EF4-FFF2-40B4-BE49-F238E27FC236}">
              <a16:creationId xmlns:a16="http://schemas.microsoft.com/office/drawing/2014/main" xmlns="" id="{00000000-0008-0000-0200-00002B340000}"/>
            </a:ext>
          </a:extLst>
        </xdr:cNvPr>
        <xdr:cNvGrpSpPr/>
      </xdr:nvGrpSpPr>
      <xdr:grpSpPr>
        <a:xfrm>
          <a:off x="352421" y="16543070"/>
          <a:ext cx="7187981" cy="4886518"/>
          <a:chOff x="374299" y="15739005"/>
          <a:chExt cx="6986579" cy="4921188"/>
        </a:xfrm>
      </xdr:grpSpPr>
      <xdr:sp macro="" textlink="">
        <xdr:nvSpPr>
          <xdr:cNvPr id="13356" name="قوس متوسط أيمن 13355">
            <a:extLst>
              <a:ext uri="{FF2B5EF4-FFF2-40B4-BE49-F238E27FC236}">
                <a16:creationId xmlns:a16="http://schemas.microsoft.com/office/drawing/2014/main" xmlns="" id="{00000000-0008-0000-0200-00002C340000}"/>
              </a:ext>
            </a:extLst>
          </xdr:cNvPr>
          <xdr:cNvSpPr/>
        </xdr:nvSpPr>
        <xdr:spPr>
          <a:xfrm flipH="1">
            <a:off x="374299" y="15739005"/>
            <a:ext cx="1241279" cy="4234222"/>
          </a:xfrm>
          <a:prstGeom prst="rightBracket">
            <a:avLst>
              <a:gd name="adj" fmla="val 0"/>
            </a:avLst>
          </a:prstGeom>
          <a:ln w="19050">
            <a:solidFill>
              <a:srgbClr val="0000FF"/>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57" name="مستطيل 13356">
            <a:extLst>
              <a:ext uri="{FF2B5EF4-FFF2-40B4-BE49-F238E27FC236}">
                <a16:creationId xmlns:a16="http://schemas.microsoft.com/office/drawing/2014/main" xmlns="" id="{00000000-0008-0000-0200-00002D340000}"/>
              </a:ext>
            </a:extLst>
          </xdr:cNvPr>
          <xdr:cNvSpPr/>
        </xdr:nvSpPr>
        <xdr:spPr>
          <a:xfrm>
            <a:off x="1443154" y="15740606"/>
            <a:ext cx="4894732" cy="444915"/>
          </a:xfrm>
          <a:prstGeom prst="rect">
            <a:avLst/>
          </a:prstGeom>
          <a:noFill/>
          <a:ln w="19050">
            <a:solidFill>
              <a:srgbClr val="0000FF"/>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58" name="مستطيل 13357">
            <a:extLst>
              <a:ext uri="{FF2B5EF4-FFF2-40B4-BE49-F238E27FC236}">
                <a16:creationId xmlns:a16="http://schemas.microsoft.com/office/drawing/2014/main" xmlns="" id="{00000000-0008-0000-0200-00002E340000}"/>
              </a:ext>
            </a:extLst>
          </xdr:cNvPr>
          <xdr:cNvSpPr/>
        </xdr:nvSpPr>
        <xdr:spPr>
          <a:xfrm>
            <a:off x="499278" y="19971672"/>
            <a:ext cx="6861600" cy="688521"/>
          </a:xfrm>
          <a:prstGeom prst="rect">
            <a:avLst/>
          </a:prstGeom>
          <a:noFill/>
          <a:ln w="19050">
            <a:solidFill>
              <a:srgbClr val="0000FF"/>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5</xdr:col>
      <xdr:colOff>24011</xdr:colOff>
      <xdr:row>118</xdr:row>
      <xdr:rowOff>59530</xdr:rowOff>
    </xdr:from>
    <xdr:to>
      <xdr:col>118</xdr:col>
      <xdr:colOff>23658</xdr:colOff>
      <xdr:row>122</xdr:row>
      <xdr:rowOff>29309</xdr:rowOff>
    </xdr:to>
    <xdr:grpSp>
      <xdr:nvGrpSpPr>
        <xdr:cNvPr id="13359" name="مجموعة 13358">
          <a:extLst>
            <a:ext uri="{FF2B5EF4-FFF2-40B4-BE49-F238E27FC236}">
              <a16:creationId xmlns:a16="http://schemas.microsoft.com/office/drawing/2014/main" xmlns="" id="{00000000-0008-0000-0200-00002F340000}"/>
            </a:ext>
          </a:extLst>
        </xdr:cNvPr>
        <xdr:cNvGrpSpPr/>
      </xdr:nvGrpSpPr>
      <xdr:grpSpPr>
        <a:xfrm>
          <a:off x="471642" y="22605205"/>
          <a:ext cx="7086247" cy="4446529"/>
          <a:chOff x="492681" y="15522608"/>
          <a:chExt cx="6861600" cy="4433515"/>
        </a:xfrm>
      </xdr:grpSpPr>
      <xdr:sp macro="" textlink="">
        <xdr:nvSpPr>
          <xdr:cNvPr id="13360" name="قوس متوسط أيمن 13359">
            <a:extLst>
              <a:ext uri="{FF2B5EF4-FFF2-40B4-BE49-F238E27FC236}">
                <a16:creationId xmlns:a16="http://schemas.microsoft.com/office/drawing/2014/main" xmlns="" id="{00000000-0008-0000-0200-000030340000}"/>
              </a:ext>
            </a:extLst>
          </xdr:cNvPr>
          <xdr:cNvSpPr/>
        </xdr:nvSpPr>
        <xdr:spPr>
          <a:xfrm>
            <a:off x="6298435" y="15522608"/>
            <a:ext cx="1051371" cy="2390583"/>
          </a:xfrm>
          <a:prstGeom prst="rightBracket">
            <a:avLst>
              <a:gd name="adj" fmla="val 0"/>
            </a:avLst>
          </a:prstGeom>
          <a:ln w="19050">
            <a:solidFill>
              <a:srgbClr val="FF0000"/>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61" name="مستطيل 13360">
            <a:extLst>
              <a:ext uri="{FF2B5EF4-FFF2-40B4-BE49-F238E27FC236}">
                <a16:creationId xmlns:a16="http://schemas.microsoft.com/office/drawing/2014/main" xmlns="" id="{00000000-0008-0000-0200-000031340000}"/>
              </a:ext>
            </a:extLst>
          </xdr:cNvPr>
          <xdr:cNvSpPr/>
        </xdr:nvSpPr>
        <xdr:spPr>
          <a:xfrm>
            <a:off x="1454346" y="15522609"/>
            <a:ext cx="4871758" cy="2029995"/>
          </a:xfrm>
          <a:prstGeom prst="rect">
            <a:avLst/>
          </a:prstGeom>
          <a:noFill/>
          <a:ln w="19050">
            <a:solidFill>
              <a:srgbClr val="FF0000"/>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62" name="مستطيل 13361">
            <a:extLst>
              <a:ext uri="{FF2B5EF4-FFF2-40B4-BE49-F238E27FC236}">
                <a16:creationId xmlns:a16="http://schemas.microsoft.com/office/drawing/2014/main" xmlns="" id="{00000000-0008-0000-0200-000032340000}"/>
              </a:ext>
            </a:extLst>
          </xdr:cNvPr>
          <xdr:cNvSpPr/>
        </xdr:nvSpPr>
        <xdr:spPr>
          <a:xfrm>
            <a:off x="492681" y="17914105"/>
            <a:ext cx="6861600" cy="2042018"/>
          </a:xfrm>
          <a:prstGeom prst="rect">
            <a:avLst/>
          </a:prstGeom>
          <a:noFill/>
          <a:ln w="19050">
            <a:solidFill>
              <a:srgbClr val="FF0000"/>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5</xdr:col>
      <xdr:colOff>19049</xdr:colOff>
      <xdr:row>124</xdr:row>
      <xdr:rowOff>142875</xdr:rowOff>
    </xdr:from>
    <xdr:to>
      <xdr:col>118</xdr:col>
      <xdr:colOff>23659</xdr:colOff>
      <xdr:row>128</xdr:row>
      <xdr:rowOff>35720</xdr:rowOff>
    </xdr:to>
    <xdr:grpSp>
      <xdr:nvGrpSpPr>
        <xdr:cNvPr id="13363" name="مجموعة 13362">
          <a:extLst>
            <a:ext uri="{FF2B5EF4-FFF2-40B4-BE49-F238E27FC236}">
              <a16:creationId xmlns:a16="http://schemas.microsoft.com/office/drawing/2014/main" xmlns="" id="{00000000-0008-0000-0200-000033340000}"/>
            </a:ext>
          </a:extLst>
        </xdr:cNvPr>
        <xdr:cNvGrpSpPr/>
      </xdr:nvGrpSpPr>
      <xdr:grpSpPr>
        <a:xfrm>
          <a:off x="471641" y="27279600"/>
          <a:ext cx="7091210" cy="4579145"/>
          <a:chOff x="492683" y="15522609"/>
          <a:chExt cx="6863479" cy="4701040"/>
        </a:xfrm>
      </xdr:grpSpPr>
      <xdr:sp macro="" textlink="">
        <xdr:nvSpPr>
          <xdr:cNvPr id="13364" name="قوس متوسط أيمن 13363">
            <a:extLst>
              <a:ext uri="{FF2B5EF4-FFF2-40B4-BE49-F238E27FC236}">
                <a16:creationId xmlns:a16="http://schemas.microsoft.com/office/drawing/2014/main" xmlns="" id="{00000000-0008-0000-0200-000034340000}"/>
              </a:ext>
            </a:extLst>
          </xdr:cNvPr>
          <xdr:cNvSpPr/>
        </xdr:nvSpPr>
        <xdr:spPr>
          <a:xfrm>
            <a:off x="6314402" y="15522609"/>
            <a:ext cx="1041760" cy="2307783"/>
          </a:xfrm>
          <a:prstGeom prst="rightBracket">
            <a:avLst>
              <a:gd name="adj" fmla="val 0"/>
            </a:avLst>
          </a:prstGeom>
          <a:ln w="19050">
            <a:solidFill>
              <a:srgbClr val="0000FF"/>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65" name="مستطيل 13364">
            <a:extLst>
              <a:ext uri="{FF2B5EF4-FFF2-40B4-BE49-F238E27FC236}">
                <a16:creationId xmlns:a16="http://schemas.microsoft.com/office/drawing/2014/main" xmlns="" id="{00000000-0008-0000-0200-000035340000}"/>
              </a:ext>
            </a:extLst>
          </xdr:cNvPr>
          <xdr:cNvSpPr/>
        </xdr:nvSpPr>
        <xdr:spPr>
          <a:xfrm>
            <a:off x="1452254" y="15522609"/>
            <a:ext cx="4852929" cy="2029996"/>
          </a:xfrm>
          <a:prstGeom prst="rect">
            <a:avLst/>
          </a:prstGeom>
          <a:noFill/>
          <a:ln w="19050">
            <a:solidFill>
              <a:srgbClr val="0000FF"/>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66" name="مستطيل 13365">
            <a:extLst>
              <a:ext uri="{FF2B5EF4-FFF2-40B4-BE49-F238E27FC236}">
                <a16:creationId xmlns:a16="http://schemas.microsoft.com/office/drawing/2014/main" xmlns="" id="{00000000-0008-0000-0200-000036340000}"/>
              </a:ext>
            </a:extLst>
          </xdr:cNvPr>
          <xdr:cNvSpPr/>
        </xdr:nvSpPr>
        <xdr:spPr>
          <a:xfrm>
            <a:off x="492683" y="17830392"/>
            <a:ext cx="6861600" cy="2393257"/>
          </a:xfrm>
          <a:prstGeom prst="rect">
            <a:avLst/>
          </a:prstGeom>
          <a:noFill/>
          <a:ln w="19050">
            <a:solidFill>
              <a:srgbClr val="0000FF"/>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43</xdr:col>
      <xdr:colOff>26376</xdr:colOff>
      <xdr:row>140</xdr:row>
      <xdr:rowOff>5362</xdr:rowOff>
    </xdr:from>
    <xdr:to>
      <xdr:col>109</xdr:col>
      <xdr:colOff>68035</xdr:colOff>
      <xdr:row>145</xdr:row>
      <xdr:rowOff>2973162</xdr:rowOff>
    </xdr:to>
    <xdr:grpSp>
      <xdr:nvGrpSpPr>
        <xdr:cNvPr id="13367" name="مجموعة 13366">
          <a:extLst>
            <a:ext uri="{FF2B5EF4-FFF2-40B4-BE49-F238E27FC236}">
              <a16:creationId xmlns:a16="http://schemas.microsoft.com/office/drawing/2014/main" xmlns="" id="{00000000-0008-0000-0200-000037340000}"/>
            </a:ext>
          </a:extLst>
        </xdr:cNvPr>
        <xdr:cNvGrpSpPr/>
      </xdr:nvGrpSpPr>
      <xdr:grpSpPr>
        <a:xfrm>
          <a:off x="951140" y="33438112"/>
          <a:ext cx="4127884" cy="5787200"/>
          <a:chOff x="-694896" y="7098690"/>
          <a:chExt cx="11974630" cy="13540055"/>
        </a:xfrm>
      </xdr:grpSpPr>
      <xdr:sp macro="" textlink="">
        <xdr:nvSpPr>
          <xdr:cNvPr id="13368" name="قوس متوسط أيمن 13367">
            <a:extLst>
              <a:ext uri="{FF2B5EF4-FFF2-40B4-BE49-F238E27FC236}">
                <a16:creationId xmlns:a16="http://schemas.microsoft.com/office/drawing/2014/main" xmlns="" id="{00000000-0008-0000-0200-000038340000}"/>
              </a:ext>
            </a:extLst>
          </xdr:cNvPr>
          <xdr:cNvSpPr/>
        </xdr:nvSpPr>
        <xdr:spPr>
          <a:xfrm rot="10800000" flipV="1">
            <a:off x="5028413" y="7098690"/>
            <a:ext cx="2277645" cy="8141363"/>
          </a:xfrm>
          <a:prstGeom prst="rightBracket">
            <a:avLst>
              <a:gd name="adj" fmla="val 0"/>
            </a:avLst>
          </a:prstGeom>
          <a:ln w="19050">
            <a:solidFill>
              <a:srgbClr val="FF0000"/>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69" name="مستطيل 13368">
            <a:extLst>
              <a:ext uri="{FF2B5EF4-FFF2-40B4-BE49-F238E27FC236}">
                <a16:creationId xmlns:a16="http://schemas.microsoft.com/office/drawing/2014/main" xmlns="" id="{00000000-0008-0000-0200-000039340000}"/>
              </a:ext>
            </a:extLst>
          </xdr:cNvPr>
          <xdr:cNvSpPr/>
        </xdr:nvSpPr>
        <xdr:spPr>
          <a:xfrm>
            <a:off x="-694896" y="15240056"/>
            <a:ext cx="7971931" cy="5398689"/>
          </a:xfrm>
          <a:prstGeom prst="rect">
            <a:avLst/>
          </a:prstGeom>
          <a:noFill/>
          <a:ln w="19050">
            <a:solidFill>
              <a:srgbClr val="FF0000"/>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70" name="مستطيل 13369">
            <a:extLst>
              <a:ext uri="{FF2B5EF4-FFF2-40B4-BE49-F238E27FC236}">
                <a16:creationId xmlns:a16="http://schemas.microsoft.com/office/drawing/2014/main" xmlns="" id="{00000000-0008-0000-0200-00003A340000}"/>
              </a:ext>
            </a:extLst>
          </xdr:cNvPr>
          <xdr:cNvSpPr/>
        </xdr:nvSpPr>
        <xdr:spPr>
          <a:xfrm>
            <a:off x="5028413" y="7109615"/>
            <a:ext cx="6251321" cy="6580584"/>
          </a:xfrm>
          <a:prstGeom prst="rect">
            <a:avLst/>
          </a:prstGeom>
          <a:noFill/>
          <a:ln w="19050">
            <a:solidFill>
              <a:srgbClr val="FF0000"/>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3</xdr:col>
      <xdr:colOff>47625</xdr:colOff>
      <xdr:row>140</xdr:row>
      <xdr:rowOff>5637</xdr:rowOff>
    </xdr:from>
    <xdr:to>
      <xdr:col>56</xdr:col>
      <xdr:colOff>7937</xdr:colOff>
      <xdr:row>145</xdr:row>
      <xdr:rowOff>960436</xdr:rowOff>
    </xdr:to>
    <xdr:grpSp>
      <xdr:nvGrpSpPr>
        <xdr:cNvPr id="13371" name="مجموعة 13370">
          <a:extLst>
            <a:ext uri="{FF2B5EF4-FFF2-40B4-BE49-F238E27FC236}">
              <a16:creationId xmlns:a16="http://schemas.microsoft.com/office/drawing/2014/main" xmlns="" id="{00000000-0008-0000-0200-00003B340000}"/>
            </a:ext>
          </a:extLst>
        </xdr:cNvPr>
        <xdr:cNvGrpSpPr/>
      </xdr:nvGrpSpPr>
      <xdr:grpSpPr>
        <a:xfrm>
          <a:off x="4249738" y="33438387"/>
          <a:ext cx="3398837" cy="3774199"/>
          <a:chOff x="-1839925" y="7066578"/>
          <a:chExt cx="9579318" cy="5775281"/>
        </a:xfrm>
      </xdr:grpSpPr>
      <xdr:sp macro="" textlink="">
        <xdr:nvSpPr>
          <xdr:cNvPr id="13372" name="قوس متوسط أيمن 13371">
            <a:extLst>
              <a:ext uri="{FF2B5EF4-FFF2-40B4-BE49-F238E27FC236}">
                <a16:creationId xmlns:a16="http://schemas.microsoft.com/office/drawing/2014/main" xmlns="" id="{00000000-0008-0000-0200-00003C340000}"/>
              </a:ext>
            </a:extLst>
          </xdr:cNvPr>
          <xdr:cNvSpPr/>
        </xdr:nvSpPr>
        <xdr:spPr>
          <a:xfrm flipV="1">
            <a:off x="4816721" y="7070798"/>
            <a:ext cx="2922672" cy="5329366"/>
          </a:xfrm>
          <a:prstGeom prst="rightBracket">
            <a:avLst>
              <a:gd name="adj" fmla="val 0"/>
            </a:avLst>
          </a:prstGeom>
          <a:ln w="19050">
            <a:solidFill>
              <a:srgbClr val="0000FF"/>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73" name="مستطيل 13372">
            <a:extLst>
              <a:ext uri="{FF2B5EF4-FFF2-40B4-BE49-F238E27FC236}">
                <a16:creationId xmlns:a16="http://schemas.microsoft.com/office/drawing/2014/main" xmlns="" id="{00000000-0008-0000-0200-00003D340000}"/>
              </a:ext>
            </a:extLst>
          </xdr:cNvPr>
          <xdr:cNvSpPr/>
        </xdr:nvSpPr>
        <xdr:spPr>
          <a:xfrm>
            <a:off x="-1839925" y="12404289"/>
            <a:ext cx="9182128" cy="437570"/>
          </a:xfrm>
          <a:prstGeom prst="rect">
            <a:avLst/>
          </a:prstGeom>
          <a:noFill/>
          <a:ln w="19050">
            <a:solidFill>
              <a:srgbClr val="0000FF"/>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74" name="مستطيل 13373">
            <a:extLst>
              <a:ext uri="{FF2B5EF4-FFF2-40B4-BE49-F238E27FC236}">
                <a16:creationId xmlns:a16="http://schemas.microsoft.com/office/drawing/2014/main" xmlns="" id="{00000000-0008-0000-0200-00003E340000}"/>
              </a:ext>
            </a:extLst>
          </xdr:cNvPr>
          <xdr:cNvSpPr/>
        </xdr:nvSpPr>
        <xdr:spPr>
          <a:xfrm>
            <a:off x="581671" y="7066578"/>
            <a:ext cx="7153612" cy="4307674"/>
          </a:xfrm>
          <a:prstGeom prst="rect">
            <a:avLst/>
          </a:prstGeom>
          <a:noFill/>
          <a:ln w="19050">
            <a:solidFill>
              <a:srgbClr val="0000FF"/>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4</xdr:col>
      <xdr:colOff>5139</xdr:colOff>
      <xdr:row>81</xdr:row>
      <xdr:rowOff>25971</xdr:rowOff>
    </xdr:from>
    <xdr:to>
      <xdr:col>118</xdr:col>
      <xdr:colOff>61389</xdr:colOff>
      <xdr:row>102</xdr:row>
      <xdr:rowOff>35029</xdr:rowOff>
    </xdr:to>
    <xdr:grpSp>
      <xdr:nvGrpSpPr>
        <xdr:cNvPr id="13375" name="مجموعة 13374">
          <a:extLst>
            <a:ext uri="{FF2B5EF4-FFF2-40B4-BE49-F238E27FC236}">
              <a16:creationId xmlns:a16="http://schemas.microsoft.com/office/drawing/2014/main" xmlns="" id="{00000000-0008-0000-0200-00003F340000}"/>
            </a:ext>
          </a:extLst>
        </xdr:cNvPr>
        <xdr:cNvGrpSpPr/>
      </xdr:nvGrpSpPr>
      <xdr:grpSpPr>
        <a:xfrm>
          <a:off x="433911" y="13513371"/>
          <a:ext cx="7200000" cy="5628808"/>
          <a:chOff x="464652" y="15548348"/>
          <a:chExt cx="6979193" cy="5646589"/>
        </a:xfrm>
      </xdr:grpSpPr>
      <xdr:sp macro="" textlink="">
        <xdr:nvSpPr>
          <xdr:cNvPr id="13376" name="قوس متوسط أيمن 13375">
            <a:extLst>
              <a:ext uri="{FF2B5EF4-FFF2-40B4-BE49-F238E27FC236}">
                <a16:creationId xmlns:a16="http://schemas.microsoft.com/office/drawing/2014/main" xmlns="" id="{00000000-0008-0000-0200-000040340000}"/>
              </a:ext>
            </a:extLst>
          </xdr:cNvPr>
          <xdr:cNvSpPr/>
        </xdr:nvSpPr>
        <xdr:spPr>
          <a:xfrm>
            <a:off x="6296233" y="15548349"/>
            <a:ext cx="543130" cy="3549979"/>
          </a:xfrm>
          <a:prstGeom prst="rightBracket">
            <a:avLst>
              <a:gd name="adj" fmla="val 0"/>
            </a:avLst>
          </a:prstGeom>
          <a:ln w="19050">
            <a:solidFill>
              <a:schemeClr val="accent2"/>
            </a:solidFill>
            <a:prstDash val="solid"/>
            <a:extLst>
              <a:ext uri="{C807C97D-BFC1-408E-A445-0C87EB9F89A2}">
                <ask:lineSketchStyleProps xmlns:ask="http://schemas.microsoft.com/office/drawing/2018/sketchyshapes" xmlns="" sd="1219033472">
                  <a:custGeom>
                    <a:avLst/>
                    <a:gdLst>
                      <a:gd name="connsiteX0" fmla="*/ 0 w 1082663"/>
                      <a:gd name="connsiteY0" fmla="*/ 0 h 4005298"/>
                      <a:gd name="connsiteX1" fmla="*/ 530505 w 1082663"/>
                      <a:gd name="connsiteY1" fmla="*/ 5 h 4005298"/>
                      <a:gd name="connsiteX2" fmla="*/ 1082663 w 1082663"/>
                      <a:gd name="connsiteY2" fmla="*/ 11 h 4005298"/>
                      <a:gd name="connsiteX3" fmla="*/ 1082663 w 1082663"/>
                      <a:gd name="connsiteY3" fmla="*/ 652299 h 4005298"/>
                      <a:gd name="connsiteX4" fmla="*/ 1082663 w 1082663"/>
                      <a:gd name="connsiteY4" fmla="*/ 1224481 h 4005298"/>
                      <a:gd name="connsiteX5" fmla="*/ 1082663 w 1082663"/>
                      <a:gd name="connsiteY5" fmla="*/ 1716558 h 4005298"/>
                      <a:gd name="connsiteX6" fmla="*/ 1082663 w 1082663"/>
                      <a:gd name="connsiteY6" fmla="*/ 2208635 h 4005298"/>
                      <a:gd name="connsiteX7" fmla="*/ 1082663 w 1082663"/>
                      <a:gd name="connsiteY7" fmla="*/ 2780817 h 4005298"/>
                      <a:gd name="connsiteX8" fmla="*/ 1082663 w 1082663"/>
                      <a:gd name="connsiteY8" fmla="*/ 3352999 h 4005298"/>
                      <a:gd name="connsiteX9" fmla="*/ 1082663 w 1082663"/>
                      <a:gd name="connsiteY9" fmla="*/ 4005287 h 4005298"/>
                      <a:gd name="connsiteX10" fmla="*/ 0 w 1082663"/>
                      <a:gd name="connsiteY10" fmla="*/ 4005298 h 4005298"/>
                      <a:gd name="connsiteX11" fmla="*/ 0 w 1082663"/>
                      <a:gd name="connsiteY11" fmla="*/ 3473166 h 4005298"/>
                      <a:gd name="connsiteX12" fmla="*/ 0 w 1082663"/>
                      <a:gd name="connsiteY12" fmla="*/ 3021139 h 4005298"/>
                      <a:gd name="connsiteX13" fmla="*/ 0 w 1082663"/>
                      <a:gd name="connsiteY13" fmla="*/ 2448954 h 4005298"/>
                      <a:gd name="connsiteX14" fmla="*/ 0 w 1082663"/>
                      <a:gd name="connsiteY14" fmla="*/ 1876768 h 4005298"/>
                      <a:gd name="connsiteX15" fmla="*/ 0 w 1082663"/>
                      <a:gd name="connsiteY15" fmla="*/ 1304583 h 4005298"/>
                      <a:gd name="connsiteX16" fmla="*/ 0 w 1082663"/>
                      <a:gd name="connsiteY16" fmla="*/ 692344 h 4005298"/>
                      <a:gd name="connsiteX17" fmla="*/ 0 w 1082663"/>
                      <a:gd name="connsiteY17" fmla="*/ 0 h 4005298"/>
                      <a:gd name="connsiteX0" fmla="*/ 0 w 1082663"/>
                      <a:gd name="connsiteY0" fmla="*/ 0 h 4005298"/>
                      <a:gd name="connsiteX1" fmla="*/ 552158 w 1082663"/>
                      <a:gd name="connsiteY1" fmla="*/ 6 h 4005298"/>
                      <a:gd name="connsiteX2" fmla="*/ 1082663 w 1082663"/>
                      <a:gd name="connsiteY2" fmla="*/ 11 h 4005298"/>
                      <a:gd name="connsiteX3" fmla="*/ 1082663 w 1082663"/>
                      <a:gd name="connsiteY3" fmla="*/ 652299 h 4005298"/>
                      <a:gd name="connsiteX4" fmla="*/ 1082663 w 1082663"/>
                      <a:gd name="connsiteY4" fmla="*/ 1304587 h 4005298"/>
                      <a:gd name="connsiteX5" fmla="*/ 1082663 w 1082663"/>
                      <a:gd name="connsiteY5" fmla="*/ 1876769 h 4005298"/>
                      <a:gd name="connsiteX6" fmla="*/ 1082663 w 1082663"/>
                      <a:gd name="connsiteY6" fmla="*/ 2408898 h 4005298"/>
                      <a:gd name="connsiteX7" fmla="*/ 1082663 w 1082663"/>
                      <a:gd name="connsiteY7" fmla="*/ 2860922 h 4005298"/>
                      <a:gd name="connsiteX8" fmla="*/ 1082663 w 1082663"/>
                      <a:gd name="connsiteY8" fmla="*/ 3312946 h 4005298"/>
                      <a:gd name="connsiteX9" fmla="*/ 1082663 w 1082663"/>
                      <a:gd name="connsiteY9" fmla="*/ 4005287 h 4005298"/>
                      <a:gd name="connsiteX10" fmla="*/ 0 w 1082663"/>
                      <a:gd name="connsiteY10" fmla="*/ 4005298 h 40052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82663" h="4005298" stroke="0" extrusionOk="0">
                        <a:moveTo>
                          <a:pt x="0" y="0"/>
                        </a:moveTo>
                        <a:cubicBezTo>
                          <a:pt x="258299" y="-30209"/>
                          <a:pt x="348644" y="3655"/>
                          <a:pt x="530505" y="5"/>
                        </a:cubicBezTo>
                        <a:cubicBezTo>
                          <a:pt x="712366" y="-3645"/>
                          <a:pt x="846093" y="13331"/>
                          <a:pt x="1082663" y="11"/>
                        </a:cubicBezTo>
                        <a:cubicBezTo>
                          <a:pt x="1124733" y="179026"/>
                          <a:pt x="1033367" y="452357"/>
                          <a:pt x="1082663" y="652299"/>
                        </a:cubicBezTo>
                        <a:cubicBezTo>
                          <a:pt x="1131959" y="852241"/>
                          <a:pt x="1050013" y="981328"/>
                          <a:pt x="1082663" y="1224481"/>
                        </a:cubicBezTo>
                        <a:cubicBezTo>
                          <a:pt x="1115313" y="1467634"/>
                          <a:pt x="1074413" y="1539172"/>
                          <a:pt x="1082663" y="1716558"/>
                        </a:cubicBezTo>
                        <a:cubicBezTo>
                          <a:pt x="1090913" y="1893944"/>
                          <a:pt x="1032498" y="2069614"/>
                          <a:pt x="1082663" y="2208635"/>
                        </a:cubicBezTo>
                        <a:cubicBezTo>
                          <a:pt x="1132828" y="2347656"/>
                          <a:pt x="1067849" y="2639496"/>
                          <a:pt x="1082663" y="2780817"/>
                        </a:cubicBezTo>
                        <a:cubicBezTo>
                          <a:pt x="1097477" y="2922138"/>
                          <a:pt x="1029311" y="3103608"/>
                          <a:pt x="1082663" y="3352999"/>
                        </a:cubicBezTo>
                        <a:cubicBezTo>
                          <a:pt x="1136015" y="3602390"/>
                          <a:pt x="1078872" y="3826768"/>
                          <a:pt x="1082663" y="4005287"/>
                        </a:cubicBezTo>
                        <a:cubicBezTo>
                          <a:pt x="1097297" y="4106563"/>
                          <a:pt x="547780" y="4002429"/>
                          <a:pt x="0" y="4005298"/>
                        </a:cubicBezTo>
                        <a:cubicBezTo>
                          <a:pt x="-38402" y="3865152"/>
                          <a:pt x="6733" y="3718157"/>
                          <a:pt x="0" y="3473166"/>
                        </a:cubicBezTo>
                        <a:cubicBezTo>
                          <a:pt x="-6733" y="3228175"/>
                          <a:pt x="52566" y="3117135"/>
                          <a:pt x="0" y="3021139"/>
                        </a:cubicBezTo>
                        <a:cubicBezTo>
                          <a:pt x="-52566" y="2925143"/>
                          <a:pt x="41274" y="2705120"/>
                          <a:pt x="0" y="2448954"/>
                        </a:cubicBezTo>
                        <a:cubicBezTo>
                          <a:pt x="-41274" y="2192789"/>
                          <a:pt x="34754" y="2063754"/>
                          <a:pt x="0" y="1876768"/>
                        </a:cubicBezTo>
                        <a:cubicBezTo>
                          <a:pt x="-34754" y="1689782"/>
                          <a:pt x="10601" y="1555093"/>
                          <a:pt x="0" y="1304583"/>
                        </a:cubicBezTo>
                        <a:cubicBezTo>
                          <a:pt x="-10601" y="1054073"/>
                          <a:pt x="67101" y="906937"/>
                          <a:pt x="0" y="692344"/>
                        </a:cubicBezTo>
                        <a:cubicBezTo>
                          <a:pt x="-67101" y="477751"/>
                          <a:pt x="18403" y="244029"/>
                          <a:pt x="0" y="0"/>
                        </a:cubicBezTo>
                        <a:close/>
                      </a:path>
                      <a:path w="1082663" h="4005298" fill="none" extrusionOk="0">
                        <a:moveTo>
                          <a:pt x="0" y="0"/>
                        </a:moveTo>
                        <a:cubicBezTo>
                          <a:pt x="203046" y="-34912"/>
                          <a:pt x="276775" y="30021"/>
                          <a:pt x="552158" y="6"/>
                        </a:cubicBezTo>
                        <a:cubicBezTo>
                          <a:pt x="827541" y="-30010"/>
                          <a:pt x="933004" y="63496"/>
                          <a:pt x="1082663" y="11"/>
                        </a:cubicBezTo>
                        <a:cubicBezTo>
                          <a:pt x="1091231" y="318628"/>
                          <a:pt x="1031942" y="502772"/>
                          <a:pt x="1082663" y="652299"/>
                        </a:cubicBezTo>
                        <a:cubicBezTo>
                          <a:pt x="1133384" y="801826"/>
                          <a:pt x="1007752" y="1038207"/>
                          <a:pt x="1082663" y="1304587"/>
                        </a:cubicBezTo>
                        <a:cubicBezTo>
                          <a:pt x="1157574" y="1570967"/>
                          <a:pt x="1052122" y="1739835"/>
                          <a:pt x="1082663" y="1876769"/>
                        </a:cubicBezTo>
                        <a:cubicBezTo>
                          <a:pt x="1113204" y="2013703"/>
                          <a:pt x="1074065" y="2271456"/>
                          <a:pt x="1082663" y="2408898"/>
                        </a:cubicBezTo>
                        <a:cubicBezTo>
                          <a:pt x="1091261" y="2546340"/>
                          <a:pt x="1054806" y="2714319"/>
                          <a:pt x="1082663" y="2860922"/>
                        </a:cubicBezTo>
                        <a:cubicBezTo>
                          <a:pt x="1110520" y="3007525"/>
                          <a:pt x="1077675" y="3198126"/>
                          <a:pt x="1082663" y="3312946"/>
                        </a:cubicBezTo>
                        <a:cubicBezTo>
                          <a:pt x="1087651" y="3427766"/>
                          <a:pt x="1035420" y="3683508"/>
                          <a:pt x="1082663" y="4005287"/>
                        </a:cubicBezTo>
                        <a:cubicBezTo>
                          <a:pt x="1117604" y="4122989"/>
                          <a:pt x="637962" y="3993531"/>
                          <a:pt x="0" y="4005298"/>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1" anchor="t"/>
          <a:lstStyle/>
          <a:p>
            <a:pPr algn="r" rtl="1"/>
            <a:endParaRPr lang="ar-SA" sz="1100"/>
          </a:p>
        </xdr:txBody>
      </xdr:sp>
      <xdr:sp macro="" textlink="">
        <xdr:nvSpPr>
          <xdr:cNvPr id="13377" name="مستطيل 13376">
            <a:extLst>
              <a:ext uri="{FF2B5EF4-FFF2-40B4-BE49-F238E27FC236}">
                <a16:creationId xmlns:a16="http://schemas.microsoft.com/office/drawing/2014/main" xmlns="" id="{00000000-0008-0000-0200-000041340000}"/>
              </a:ext>
            </a:extLst>
          </xdr:cNvPr>
          <xdr:cNvSpPr/>
        </xdr:nvSpPr>
        <xdr:spPr>
          <a:xfrm>
            <a:off x="1452251" y="15548348"/>
            <a:ext cx="4880866" cy="1666167"/>
          </a:xfrm>
          <a:prstGeom prst="rect">
            <a:avLst/>
          </a:prstGeom>
          <a:noFill/>
          <a:ln w="19050">
            <a:solidFill>
              <a:schemeClr val="accent2"/>
            </a:solidFill>
            <a:prstDash val="sysDash"/>
            <a:extLst>
              <a:ext uri="{C807C97D-BFC1-408E-A445-0C87EB9F89A2}">
                <ask:lineSketchStyleProps xmlns:ask="http://schemas.microsoft.com/office/drawing/2018/sketchyshapes" xmlns="" sd="823318213">
                  <a:custGeom>
                    <a:avLst/>
                    <a:gdLst>
                      <a:gd name="connsiteX0" fmla="*/ 0 w 5012223"/>
                      <a:gd name="connsiteY0" fmla="*/ 0 h 864000"/>
                      <a:gd name="connsiteX1" fmla="*/ 406547 w 5012223"/>
                      <a:gd name="connsiteY1" fmla="*/ 0 h 864000"/>
                      <a:gd name="connsiteX2" fmla="*/ 913338 w 5012223"/>
                      <a:gd name="connsiteY2" fmla="*/ 0 h 864000"/>
                      <a:gd name="connsiteX3" fmla="*/ 1470252 w 5012223"/>
                      <a:gd name="connsiteY3" fmla="*/ 0 h 864000"/>
                      <a:gd name="connsiteX4" fmla="*/ 2127410 w 5012223"/>
                      <a:gd name="connsiteY4" fmla="*/ 0 h 864000"/>
                      <a:gd name="connsiteX5" fmla="*/ 2584079 w 5012223"/>
                      <a:gd name="connsiteY5" fmla="*/ 0 h 864000"/>
                      <a:gd name="connsiteX6" fmla="*/ 3040749 w 5012223"/>
                      <a:gd name="connsiteY6" fmla="*/ 0 h 864000"/>
                      <a:gd name="connsiteX7" fmla="*/ 3697907 w 5012223"/>
                      <a:gd name="connsiteY7" fmla="*/ 0 h 864000"/>
                      <a:gd name="connsiteX8" fmla="*/ 4154576 w 5012223"/>
                      <a:gd name="connsiteY8" fmla="*/ 0 h 864000"/>
                      <a:gd name="connsiteX9" fmla="*/ 5012223 w 5012223"/>
                      <a:gd name="connsiteY9" fmla="*/ 0 h 864000"/>
                      <a:gd name="connsiteX10" fmla="*/ 5012223 w 5012223"/>
                      <a:gd name="connsiteY10" fmla="*/ 423360 h 864000"/>
                      <a:gd name="connsiteX11" fmla="*/ 5012223 w 5012223"/>
                      <a:gd name="connsiteY11" fmla="*/ 864000 h 864000"/>
                      <a:gd name="connsiteX12" fmla="*/ 4555554 w 5012223"/>
                      <a:gd name="connsiteY12" fmla="*/ 864000 h 864000"/>
                      <a:gd name="connsiteX13" fmla="*/ 4149007 w 5012223"/>
                      <a:gd name="connsiteY13" fmla="*/ 864000 h 864000"/>
                      <a:gd name="connsiteX14" fmla="*/ 3692338 w 5012223"/>
                      <a:gd name="connsiteY14" fmla="*/ 864000 h 864000"/>
                      <a:gd name="connsiteX15" fmla="*/ 3185546 w 5012223"/>
                      <a:gd name="connsiteY15" fmla="*/ 864000 h 864000"/>
                      <a:gd name="connsiteX16" fmla="*/ 2778999 w 5012223"/>
                      <a:gd name="connsiteY16" fmla="*/ 864000 h 864000"/>
                      <a:gd name="connsiteX17" fmla="*/ 2272208 w 5012223"/>
                      <a:gd name="connsiteY17" fmla="*/ 864000 h 864000"/>
                      <a:gd name="connsiteX18" fmla="*/ 1615050 w 5012223"/>
                      <a:gd name="connsiteY18" fmla="*/ 864000 h 864000"/>
                      <a:gd name="connsiteX19" fmla="*/ 1108258 w 5012223"/>
                      <a:gd name="connsiteY19" fmla="*/ 864000 h 864000"/>
                      <a:gd name="connsiteX20" fmla="*/ 551345 w 5012223"/>
                      <a:gd name="connsiteY20" fmla="*/ 864000 h 864000"/>
                      <a:gd name="connsiteX21" fmla="*/ 0 w 5012223"/>
                      <a:gd name="connsiteY21" fmla="*/ 864000 h 864000"/>
                      <a:gd name="connsiteX22" fmla="*/ 0 w 5012223"/>
                      <a:gd name="connsiteY22" fmla="*/ 432000 h 864000"/>
                      <a:gd name="connsiteX23" fmla="*/ 0 w 5012223"/>
                      <a:gd name="connsiteY23" fmla="*/ 0 h 864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5012223" h="864000" extrusionOk="0">
                        <a:moveTo>
                          <a:pt x="0" y="0"/>
                        </a:moveTo>
                        <a:cubicBezTo>
                          <a:pt x="129415" y="-8167"/>
                          <a:pt x="233821" y="34965"/>
                          <a:pt x="406547" y="0"/>
                        </a:cubicBezTo>
                        <a:cubicBezTo>
                          <a:pt x="579273" y="-34965"/>
                          <a:pt x="675528" y="40904"/>
                          <a:pt x="913338" y="0"/>
                        </a:cubicBezTo>
                        <a:cubicBezTo>
                          <a:pt x="1151148" y="-40904"/>
                          <a:pt x="1265351" y="21931"/>
                          <a:pt x="1470252" y="0"/>
                        </a:cubicBezTo>
                        <a:cubicBezTo>
                          <a:pt x="1675153" y="-21931"/>
                          <a:pt x="1938674" y="18625"/>
                          <a:pt x="2127410" y="0"/>
                        </a:cubicBezTo>
                        <a:cubicBezTo>
                          <a:pt x="2316146" y="-18625"/>
                          <a:pt x="2490963" y="34705"/>
                          <a:pt x="2584079" y="0"/>
                        </a:cubicBezTo>
                        <a:cubicBezTo>
                          <a:pt x="2677195" y="-34705"/>
                          <a:pt x="2846671" y="12968"/>
                          <a:pt x="3040749" y="0"/>
                        </a:cubicBezTo>
                        <a:cubicBezTo>
                          <a:pt x="3234827" y="-12968"/>
                          <a:pt x="3525716" y="34502"/>
                          <a:pt x="3697907" y="0"/>
                        </a:cubicBezTo>
                        <a:cubicBezTo>
                          <a:pt x="3870098" y="-34502"/>
                          <a:pt x="4003858" y="19829"/>
                          <a:pt x="4154576" y="0"/>
                        </a:cubicBezTo>
                        <a:cubicBezTo>
                          <a:pt x="4305294" y="-19829"/>
                          <a:pt x="4829656" y="11980"/>
                          <a:pt x="5012223" y="0"/>
                        </a:cubicBezTo>
                        <a:cubicBezTo>
                          <a:pt x="5053949" y="102476"/>
                          <a:pt x="4986755" y="219314"/>
                          <a:pt x="5012223" y="423360"/>
                        </a:cubicBezTo>
                        <a:cubicBezTo>
                          <a:pt x="5037691" y="627406"/>
                          <a:pt x="4960784" y="678564"/>
                          <a:pt x="5012223" y="864000"/>
                        </a:cubicBezTo>
                        <a:cubicBezTo>
                          <a:pt x="4899334" y="896631"/>
                          <a:pt x="4753896" y="836237"/>
                          <a:pt x="4555554" y="864000"/>
                        </a:cubicBezTo>
                        <a:cubicBezTo>
                          <a:pt x="4357212" y="891763"/>
                          <a:pt x="4262581" y="857372"/>
                          <a:pt x="4149007" y="864000"/>
                        </a:cubicBezTo>
                        <a:cubicBezTo>
                          <a:pt x="4035433" y="870628"/>
                          <a:pt x="3911279" y="812167"/>
                          <a:pt x="3692338" y="864000"/>
                        </a:cubicBezTo>
                        <a:cubicBezTo>
                          <a:pt x="3473397" y="915833"/>
                          <a:pt x="3404085" y="818355"/>
                          <a:pt x="3185546" y="864000"/>
                        </a:cubicBezTo>
                        <a:cubicBezTo>
                          <a:pt x="2967007" y="909645"/>
                          <a:pt x="2948285" y="833147"/>
                          <a:pt x="2778999" y="864000"/>
                        </a:cubicBezTo>
                        <a:cubicBezTo>
                          <a:pt x="2609713" y="894853"/>
                          <a:pt x="2426947" y="860915"/>
                          <a:pt x="2272208" y="864000"/>
                        </a:cubicBezTo>
                        <a:cubicBezTo>
                          <a:pt x="2117469" y="867085"/>
                          <a:pt x="1846747" y="801400"/>
                          <a:pt x="1615050" y="864000"/>
                        </a:cubicBezTo>
                        <a:cubicBezTo>
                          <a:pt x="1383353" y="926600"/>
                          <a:pt x="1334355" y="846951"/>
                          <a:pt x="1108258" y="864000"/>
                        </a:cubicBezTo>
                        <a:cubicBezTo>
                          <a:pt x="882161" y="881049"/>
                          <a:pt x="822707" y="863359"/>
                          <a:pt x="551345" y="864000"/>
                        </a:cubicBezTo>
                        <a:cubicBezTo>
                          <a:pt x="279983" y="864641"/>
                          <a:pt x="194113" y="846535"/>
                          <a:pt x="0" y="864000"/>
                        </a:cubicBezTo>
                        <a:cubicBezTo>
                          <a:pt x="-39083" y="763120"/>
                          <a:pt x="15584" y="548773"/>
                          <a:pt x="0" y="432000"/>
                        </a:cubicBezTo>
                        <a:cubicBezTo>
                          <a:pt x="-15584" y="315227"/>
                          <a:pt x="513" y="107733"/>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sp macro="" textlink="">
        <xdr:nvSpPr>
          <xdr:cNvPr id="13378" name="مستطيل 13377">
            <a:extLst>
              <a:ext uri="{FF2B5EF4-FFF2-40B4-BE49-F238E27FC236}">
                <a16:creationId xmlns:a16="http://schemas.microsoft.com/office/drawing/2014/main" xmlns="" id="{00000000-0008-0000-0200-000042340000}"/>
              </a:ext>
            </a:extLst>
          </xdr:cNvPr>
          <xdr:cNvSpPr/>
        </xdr:nvSpPr>
        <xdr:spPr>
          <a:xfrm>
            <a:off x="464652" y="19100341"/>
            <a:ext cx="6979193" cy="2094596"/>
          </a:xfrm>
          <a:prstGeom prst="rect">
            <a:avLst/>
          </a:prstGeom>
          <a:noFill/>
          <a:ln w="19050">
            <a:solidFill>
              <a:schemeClr val="accent2"/>
            </a:solidFill>
            <a:prstDash val="sysDash"/>
            <a:extLst>
              <a:ext uri="{C807C97D-BFC1-408E-A445-0C87EB9F89A2}">
                <ask:lineSketchStyleProps xmlns:ask="http://schemas.microsoft.com/office/drawing/2018/sketchyshapes" xmlns="" sd="4235109944">
                  <a:custGeom>
                    <a:avLst/>
                    <a:gdLst>
                      <a:gd name="connsiteX0" fmla="*/ 0 w 6937761"/>
                      <a:gd name="connsiteY0" fmla="*/ 0 h 940530"/>
                      <a:gd name="connsiteX1" fmla="*/ 716902 w 6937761"/>
                      <a:gd name="connsiteY1" fmla="*/ 0 h 940530"/>
                      <a:gd name="connsiteX2" fmla="*/ 1295049 w 6937761"/>
                      <a:gd name="connsiteY2" fmla="*/ 0 h 940530"/>
                      <a:gd name="connsiteX3" fmla="*/ 1803818 w 6937761"/>
                      <a:gd name="connsiteY3" fmla="*/ 0 h 940530"/>
                      <a:gd name="connsiteX4" fmla="*/ 2520720 w 6937761"/>
                      <a:gd name="connsiteY4" fmla="*/ 0 h 940530"/>
                      <a:gd name="connsiteX5" fmla="*/ 3237622 w 6937761"/>
                      <a:gd name="connsiteY5" fmla="*/ 0 h 940530"/>
                      <a:gd name="connsiteX6" fmla="*/ 3607636 w 6937761"/>
                      <a:gd name="connsiteY6" fmla="*/ 0 h 940530"/>
                      <a:gd name="connsiteX7" fmla="*/ 3977650 w 6937761"/>
                      <a:gd name="connsiteY7" fmla="*/ 0 h 940530"/>
                      <a:gd name="connsiteX8" fmla="*/ 4625174 w 6937761"/>
                      <a:gd name="connsiteY8" fmla="*/ 0 h 940530"/>
                      <a:gd name="connsiteX9" fmla="*/ 5133943 w 6937761"/>
                      <a:gd name="connsiteY9" fmla="*/ 0 h 940530"/>
                      <a:gd name="connsiteX10" fmla="*/ 5781468 w 6937761"/>
                      <a:gd name="connsiteY10" fmla="*/ 0 h 940530"/>
                      <a:gd name="connsiteX11" fmla="*/ 6220859 w 6937761"/>
                      <a:gd name="connsiteY11" fmla="*/ 0 h 940530"/>
                      <a:gd name="connsiteX12" fmla="*/ 6937761 w 6937761"/>
                      <a:gd name="connsiteY12" fmla="*/ 0 h 940530"/>
                      <a:gd name="connsiteX13" fmla="*/ 6937761 w 6937761"/>
                      <a:gd name="connsiteY13" fmla="*/ 460860 h 940530"/>
                      <a:gd name="connsiteX14" fmla="*/ 6937761 w 6937761"/>
                      <a:gd name="connsiteY14" fmla="*/ 940530 h 940530"/>
                      <a:gd name="connsiteX15" fmla="*/ 6220859 w 6937761"/>
                      <a:gd name="connsiteY15" fmla="*/ 940530 h 940530"/>
                      <a:gd name="connsiteX16" fmla="*/ 5781468 w 6937761"/>
                      <a:gd name="connsiteY16" fmla="*/ 940530 h 940530"/>
                      <a:gd name="connsiteX17" fmla="*/ 5342076 w 6937761"/>
                      <a:gd name="connsiteY17" fmla="*/ 940530 h 940530"/>
                      <a:gd name="connsiteX18" fmla="*/ 4763929 w 6937761"/>
                      <a:gd name="connsiteY18" fmla="*/ 940530 h 940530"/>
                      <a:gd name="connsiteX19" fmla="*/ 4185782 w 6937761"/>
                      <a:gd name="connsiteY19" fmla="*/ 940530 h 940530"/>
                      <a:gd name="connsiteX20" fmla="*/ 3607636 w 6937761"/>
                      <a:gd name="connsiteY20" fmla="*/ 940530 h 940530"/>
                      <a:gd name="connsiteX21" fmla="*/ 3029489 w 6937761"/>
                      <a:gd name="connsiteY21" fmla="*/ 940530 h 940530"/>
                      <a:gd name="connsiteX22" fmla="*/ 2659475 w 6937761"/>
                      <a:gd name="connsiteY22" fmla="*/ 940530 h 940530"/>
                      <a:gd name="connsiteX23" fmla="*/ 2150706 w 6937761"/>
                      <a:gd name="connsiteY23" fmla="*/ 940530 h 940530"/>
                      <a:gd name="connsiteX24" fmla="*/ 1780692 w 6937761"/>
                      <a:gd name="connsiteY24" fmla="*/ 940530 h 940530"/>
                      <a:gd name="connsiteX25" fmla="*/ 1063790 w 6937761"/>
                      <a:gd name="connsiteY25" fmla="*/ 940530 h 940530"/>
                      <a:gd name="connsiteX26" fmla="*/ 0 w 6937761"/>
                      <a:gd name="connsiteY26" fmla="*/ 940530 h 940530"/>
                      <a:gd name="connsiteX27" fmla="*/ 0 w 6937761"/>
                      <a:gd name="connsiteY27" fmla="*/ 498481 h 940530"/>
                      <a:gd name="connsiteX28" fmla="*/ 0 w 6937761"/>
                      <a:gd name="connsiteY28" fmla="*/ 0 h 9405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6937761" h="940530" extrusionOk="0">
                        <a:moveTo>
                          <a:pt x="0" y="0"/>
                        </a:moveTo>
                        <a:cubicBezTo>
                          <a:pt x="195840" y="-25132"/>
                          <a:pt x="471759" y="10948"/>
                          <a:pt x="716902" y="0"/>
                        </a:cubicBezTo>
                        <a:cubicBezTo>
                          <a:pt x="962045" y="-10948"/>
                          <a:pt x="1125764" y="60864"/>
                          <a:pt x="1295049" y="0"/>
                        </a:cubicBezTo>
                        <a:cubicBezTo>
                          <a:pt x="1464334" y="-60864"/>
                          <a:pt x="1648613" y="44431"/>
                          <a:pt x="1803818" y="0"/>
                        </a:cubicBezTo>
                        <a:cubicBezTo>
                          <a:pt x="1959023" y="-44431"/>
                          <a:pt x="2231097" y="70256"/>
                          <a:pt x="2520720" y="0"/>
                        </a:cubicBezTo>
                        <a:cubicBezTo>
                          <a:pt x="2810343" y="-70256"/>
                          <a:pt x="2979591" y="74090"/>
                          <a:pt x="3237622" y="0"/>
                        </a:cubicBezTo>
                        <a:cubicBezTo>
                          <a:pt x="3495653" y="-74090"/>
                          <a:pt x="3488743" y="24384"/>
                          <a:pt x="3607636" y="0"/>
                        </a:cubicBezTo>
                        <a:cubicBezTo>
                          <a:pt x="3726529" y="-24384"/>
                          <a:pt x="3870765" y="17273"/>
                          <a:pt x="3977650" y="0"/>
                        </a:cubicBezTo>
                        <a:cubicBezTo>
                          <a:pt x="4084535" y="-17273"/>
                          <a:pt x="4305506" y="1309"/>
                          <a:pt x="4625174" y="0"/>
                        </a:cubicBezTo>
                        <a:cubicBezTo>
                          <a:pt x="4944842" y="-1309"/>
                          <a:pt x="5000060" y="18670"/>
                          <a:pt x="5133943" y="0"/>
                        </a:cubicBezTo>
                        <a:cubicBezTo>
                          <a:pt x="5267826" y="-18670"/>
                          <a:pt x="5500941" y="10845"/>
                          <a:pt x="5781468" y="0"/>
                        </a:cubicBezTo>
                        <a:cubicBezTo>
                          <a:pt x="6061995" y="-10845"/>
                          <a:pt x="6030947" y="12480"/>
                          <a:pt x="6220859" y="0"/>
                        </a:cubicBezTo>
                        <a:cubicBezTo>
                          <a:pt x="6410771" y="-12480"/>
                          <a:pt x="6735071" y="52457"/>
                          <a:pt x="6937761" y="0"/>
                        </a:cubicBezTo>
                        <a:cubicBezTo>
                          <a:pt x="6968404" y="189011"/>
                          <a:pt x="6903969" y="288193"/>
                          <a:pt x="6937761" y="460860"/>
                        </a:cubicBezTo>
                        <a:cubicBezTo>
                          <a:pt x="6971553" y="633527"/>
                          <a:pt x="6891188" y="781154"/>
                          <a:pt x="6937761" y="940530"/>
                        </a:cubicBezTo>
                        <a:cubicBezTo>
                          <a:pt x="6662160" y="951817"/>
                          <a:pt x="6492514" y="902660"/>
                          <a:pt x="6220859" y="940530"/>
                        </a:cubicBezTo>
                        <a:cubicBezTo>
                          <a:pt x="5949204" y="978400"/>
                          <a:pt x="5993302" y="895447"/>
                          <a:pt x="5781468" y="940530"/>
                        </a:cubicBezTo>
                        <a:cubicBezTo>
                          <a:pt x="5569634" y="985613"/>
                          <a:pt x="5535288" y="892758"/>
                          <a:pt x="5342076" y="940530"/>
                        </a:cubicBezTo>
                        <a:cubicBezTo>
                          <a:pt x="5148864" y="988302"/>
                          <a:pt x="4881583" y="936251"/>
                          <a:pt x="4763929" y="940530"/>
                        </a:cubicBezTo>
                        <a:cubicBezTo>
                          <a:pt x="4646275" y="944809"/>
                          <a:pt x="4436767" y="940141"/>
                          <a:pt x="4185782" y="940530"/>
                        </a:cubicBezTo>
                        <a:cubicBezTo>
                          <a:pt x="3934797" y="940919"/>
                          <a:pt x="3874849" y="903845"/>
                          <a:pt x="3607636" y="940530"/>
                        </a:cubicBezTo>
                        <a:cubicBezTo>
                          <a:pt x="3340423" y="977215"/>
                          <a:pt x="3247589" y="877891"/>
                          <a:pt x="3029489" y="940530"/>
                        </a:cubicBezTo>
                        <a:cubicBezTo>
                          <a:pt x="2811389" y="1003169"/>
                          <a:pt x="2813131" y="925595"/>
                          <a:pt x="2659475" y="940530"/>
                        </a:cubicBezTo>
                        <a:cubicBezTo>
                          <a:pt x="2505819" y="955465"/>
                          <a:pt x="2361321" y="912543"/>
                          <a:pt x="2150706" y="940530"/>
                        </a:cubicBezTo>
                        <a:cubicBezTo>
                          <a:pt x="1940091" y="968517"/>
                          <a:pt x="1912956" y="932262"/>
                          <a:pt x="1780692" y="940530"/>
                        </a:cubicBezTo>
                        <a:cubicBezTo>
                          <a:pt x="1648428" y="948798"/>
                          <a:pt x="1342617" y="918087"/>
                          <a:pt x="1063790" y="940530"/>
                        </a:cubicBezTo>
                        <a:cubicBezTo>
                          <a:pt x="784963" y="962973"/>
                          <a:pt x="469045" y="934513"/>
                          <a:pt x="0" y="940530"/>
                        </a:cubicBezTo>
                        <a:cubicBezTo>
                          <a:pt x="-9499" y="846554"/>
                          <a:pt x="45660" y="698763"/>
                          <a:pt x="0" y="498481"/>
                        </a:cubicBezTo>
                        <a:cubicBezTo>
                          <a:pt x="-45660" y="298199"/>
                          <a:pt x="58989" y="152244"/>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5</xdr:col>
      <xdr:colOff>60301</xdr:colOff>
      <xdr:row>76</xdr:row>
      <xdr:rowOff>123825</xdr:rowOff>
    </xdr:from>
    <xdr:to>
      <xdr:col>118</xdr:col>
      <xdr:colOff>9526</xdr:colOff>
      <xdr:row>78</xdr:row>
      <xdr:rowOff>189675</xdr:rowOff>
    </xdr:to>
    <xdr:sp macro="" textlink="">
      <xdr:nvSpPr>
        <xdr:cNvPr id="5" name="مربع نص 4">
          <a:hlinkClick xmlns:r="http://schemas.openxmlformats.org/officeDocument/2006/relationships" r:id="rId6"/>
          <a:extLst>
            <a:ext uri="{FF2B5EF4-FFF2-40B4-BE49-F238E27FC236}">
              <a16:creationId xmlns:a16="http://schemas.microsoft.com/office/drawing/2014/main" xmlns="" id="{00000000-0008-0000-0200-000005000000}"/>
            </a:ext>
          </a:extLst>
        </xdr:cNvPr>
        <xdr:cNvSpPr txBox="1"/>
      </xdr:nvSpPr>
      <xdr:spPr>
        <a:xfrm>
          <a:off x="523874" y="12353925"/>
          <a:ext cx="6912000" cy="50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mc:AlternateContent xmlns:mc="http://schemas.openxmlformats.org/markup-compatibility/2006">
    <mc:Choice xmlns:a14="http://schemas.microsoft.com/office/drawing/2010/main" Requires="a14">
      <xdr:twoCellAnchor editAs="oneCell">
        <xdr:from>
          <xdr:col>24</xdr:col>
          <xdr:colOff>28575</xdr:colOff>
          <xdr:row>50</xdr:row>
          <xdr:rowOff>123825</xdr:rowOff>
        </xdr:from>
        <xdr:to>
          <xdr:col>32</xdr:col>
          <xdr:colOff>9525</xdr:colOff>
          <xdr:row>52</xdr:row>
          <xdr:rowOff>19050</xdr:rowOff>
        </xdr:to>
        <xdr:sp macro="" textlink="">
          <xdr:nvSpPr>
            <xdr:cNvPr id="13323" name="Check Box 11" hidden="1">
              <a:extLst>
                <a:ext uri="{63B3BB69-23CF-44E3-9099-C40C66FF867C}">
                  <a14:compatExt spid="_x0000_s13323"/>
                </a:ext>
                <a:ext uri="{FF2B5EF4-FFF2-40B4-BE49-F238E27FC236}">
                  <a16:creationId xmlns:a16="http://schemas.microsoft.com/office/drawing/2014/main" xmlns="" id="{00000000-0008-0000-0200-00000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الإيميل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64</xdr:col>
          <xdr:colOff>0</xdr:colOff>
          <xdr:row>50</xdr:row>
          <xdr:rowOff>133350</xdr:rowOff>
        </xdr:from>
        <xdr:to>
          <xdr:col>80</xdr:col>
          <xdr:colOff>57150</xdr:colOff>
          <xdr:row>52</xdr:row>
          <xdr:rowOff>28575</xdr:rowOff>
        </xdr:to>
        <xdr:sp macro="" textlink="">
          <xdr:nvSpPr>
            <xdr:cNvPr id="13324" name="Check Box 12" hidden="1">
              <a:extLst>
                <a:ext uri="{63B3BB69-23CF-44E3-9099-C40C66FF867C}">
                  <a14:compatExt spid="_x0000_s13324"/>
                </a:ext>
                <a:ext uri="{FF2B5EF4-FFF2-40B4-BE49-F238E27FC236}">
                  <a16:creationId xmlns:a16="http://schemas.microsoft.com/office/drawing/2014/main" xmlns="" id="{00000000-0008-0000-0200-00000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الساعات المكتبية.</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85</xdr:col>
          <xdr:colOff>28575</xdr:colOff>
          <xdr:row>50</xdr:row>
          <xdr:rowOff>133350</xdr:rowOff>
        </xdr:from>
        <xdr:to>
          <xdr:col>94</xdr:col>
          <xdr:colOff>28575</xdr:colOff>
          <xdr:row>52</xdr:row>
          <xdr:rowOff>19050</xdr:rowOff>
        </xdr:to>
        <xdr:sp macro="" textlink="">
          <xdr:nvSpPr>
            <xdr:cNvPr id="13325" name="Check Box 13" descr="أخرى" hidden="1">
              <a:extLst>
                <a:ext uri="{63B3BB69-23CF-44E3-9099-C40C66FF867C}">
                  <a14:compatExt spid="_x0000_s13325"/>
                </a:ext>
                <a:ext uri="{FF2B5EF4-FFF2-40B4-BE49-F238E27FC236}">
                  <a16:creationId xmlns:a16="http://schemas.microsoft.com/office/drawing/2014/main" xmlns="" id="{00000000-0008-0000-0200-00000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0" tIns="18288" rIns="27432" bIns="18288" anchor="ctr" upright="1"/>
            <a:lstStyle/>
            <a:p>
              <a:pPr algn="r" rtl="1">
                <a:defRPr sz="1000"/>
              </a:pPr>
              <a:r>
                <a:rPr lang="en-US" sz="800" b="0" i="0" u="none" strike="noStrike" baseline="0">
                  <a:solidFill>
                    <a:srgbClr val="000000"/>
                  </a:solidFill>
                  <a:latin typeface="Tahoma"/>
                  <a:ea typeface="Tahoma"/>
                  <a:cs typeface="Tahoma"/>
                </a:rPr>
                <a:t>أخرى</a:t>
              </a:r>
            </a:p>
          </xdr:txBody>
        </xdr:sp>
        <xdr:clientData/>
      </xdr:twoCellAnchor>
    </mc:Choice>
    <mc:Fallback/>
  </mc:AlternateContent>
  <xdr:twoCellAnchor>
    <xdr:from>
      <xdr:col>5</xdr:col>
      <xdr:colOff>39687</xdr:colOff>
      <xdr:row>145</xdr:row>
      <xdr:rowOff>2741324</xdr:rowOff>
    </xdr:from>
    <xdr:to>
      <xdr:col>56</xdr:col>
      <xdr:colOff>16608</xdr:colOff>
      <xdr:row>145</xdr:row>
      <xdr:rowOff>2949569</xdr:rowOff>
    </xdr:to>
    <xdr:pic>
      <xdr:nvPicPr>
        <xdr:cNvPr id="7" name="صورة 6">
          <a:extLst>
            <a:ext uri="{FF2B5EF4-FFF2-40B4-BE49-F238E27FC236}">
              <a16:creationId xmlns:a16="http://schemas.microsoft.com/office/drawing/2014/main" xmlns="" id="{00000000-0008-0000-0200-000007000000}"/>
            </a:ext>
          </a:extLst>
        </xdr:cNvPr>
        <xdr:cNvPicPr>
          <a:picLocks noChangeAspect="1"/>
        </xdr:cNvPicPr>
      </xdr:nvPicPr>
      <xdr:blipFill>
        <a:blip xmlns:r="http://schemas.openxmlformats.org/officeDocument/2006/relationships" r:embed="rId7"/>
        <a:stretch>
          <a:fillRect/>
        </a:stretch>
      </xdr:blipFill>
      <xdr:spPr>
        <a:xfrm>
          <a:off x="4079142" y="38785512"/>
          <a:ext cx="3143983" cy="208245"/>
        </a:xfrm>
        <a:prstGeom prst="rect">
          <a:avLst/>
        </a:prstGeom>
      </xdr:spPr>
    </xdr:pic>
    <xdr:clientData/>
  </xdr:twoCellAnchor>
  <xdr:twoCellAnchor>
    <xdr:from>
      <xdr:col>8</xdr:col>
      <xdr:colOff>15162</xdr:colOff>
      <xdr:row>145</xdr:row>
      <xdr:rowOff>2650170</xdr:rowOff>
    </xdr:from>
    <xdr:to>
      <xdr:col>8</xdr:col>
      <xdr:colOff>15162</xdr:colOff>
      <xdr:row>145</xdr:row>
      <xdr:rowOff>2799332</xdr:rowOff>
    </xdr:to>
    <xdr:cxnSp macro="">
      <xdr:nvCxnSpPr>
        <xdr:cNvPr id="8" name="رابط كسهم مستقيم 7">
          <a:extLst>
            <a:ext uri="{FF2B5EF4-FFF2-40B4-BE49-F238E27FC236}">
              <a16:creationId xmlns:a16="http://schemas.microsoft.com/office/drawing/2014/main" xmlns="" id="{00000000-0008-0000-0200-000008000000}"/>
            </a:ext>
          </a:extLst>
        </xdr:cNvPr>
        <xdr:cNvCxnSpPr/>
      </xdr:nvCxnSpPr>
      <xdr:spPr>
        <a:xfrm flipH="1">
          <a:off x="7057150" y="38694358"/>
          <a:ext cx="0" cy="149162"/>
        </a:xfrm>
        <a:prstGeom prst="straightConnector1">
          <a:avLst/>
        </a:prstGeom>
        <a:ln w="34925">
          <a:solidFill>
            <a:srgbClr val="FF0000"/>
          </a:solidFill>
          <a:prstDash val="sysDot"/>
          <a:headEnd w="sm" len="sm"/>
          <a:tailEnd type="triangle" w="sm" len="s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48600</xdr:colOff>
      <xdr:row>133</xdr:row>
      <xdr:rowOff>28575</xdr:rowOff>
    </xdr:from>
    <xdr:to>
      <xdr:col>122</xdr:col>
      <xdr:colOff>2550</xdr:colOff>
      <xdr:row>133</xdr:row>
      <xdr:rowOff>514544</xdr:rowOff>
    </xdr:to>
    <xdr:sp macro="" textlink="">
      <xdr:nvSpPr>
        <xdr:cNvPr id="2" name="مستطيل: زوايا علوية مستديرة 148">
          <a:extLst>
            <a:ext uri="{FF2B5EF4-FFF2-40B4-BE49-F238E27FC236}">
              <a16:creationId xmlns:a16="http://schemas.microsoft.com/office/drawing/2014/main" xmlns="" id="{00000000-0008-0000-0200-000002000000}"/>
            </a:ext>
          </a:extLst>
        </xdr:cNvPr>
        <xdr:cNvSpPr/>
      </xdr:nvSpPr>
      <xdr:spPr>
        <a:xfrm>
          <a:off x="254625" y="32404050"/>
          <a:ext cx="7516800" cy="48596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الخطة التدريبية</a:t>
          </a:r>
        </a:p>
      </xdr:txBody>
    </xdr:sp>
    <xdr:clientData/>
  </xdr:twoCellAnchor>
  <xdr:twoCellAnchor>
    <xdr:from>
      <xdr:col>79</xdr:col>
      <xdr:colOff>38100</xdr:colOff>
      <xdr:row>152</xdr:row>
      <xdr:rowOff>135082</xdr:rowOff>
    </xdr:from>
    <xdr:to>
      <xdr:col>89</xdr:col>
      <xdr:colOff>33023</xdr:colOff>
      <xdr:row>152</xdr:row>
      <xdr:rowOff>243082</xdr:rowOff>
    </xdr:to>
    <xdr:sp macro="" textlink="">
      <xdr:nvSpPr>
        <xdr:cNvPr id="3" name="مستطيل 2">
          <a:hlinkClick xmlns:r="http://schemas.openxmlformats.org/officeDocument/2006/relationships" r:id="rId8"/>
          <a:extLst>
            <a:ext uri="{FF2B5EF4-FFF2-40B4-BE49-F238E27FC236}">
              <a16:creationId xmlns:a16="http://schemas.microsoft.com/office/drawing/2014/main" xmlns="" id="{00000000-0008-0000-0200-000003000000}"/>
            </a:ext>
          </a:extLst>
        </xdr:cNvPr>
        <xdr:cNvSpPr/>
      </xdr:nvSpPr>
      <xdr:spPr>
        <a:xfrm>
          <a:off x="2205352" y="51560557"/>
          <a:ext cx="585473" cy="108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80</xdr:col>
      <xdr:colOff>47162</xdr:colOff>
      <xdr:row>152</xdr:row>
      <xdr:rowOff>192232</xdr:rowOff>
    </xdr:from>
    <xdr:to>
      <xdr:col>91</xdr:col>
      <xdr:colOff>33023</xdr:colOff>
      <xdr:row>152</xdr:row>
      <xdr:rowOff>300232</xdr:rowOff>
    </xdr:to>
    <xdr:sp macro="" textlink="">
      <xdr:nvSpPr>
        <xdr:cNvPr id="9" name="مستطيل 8">
          <a:hlinkClick xmlns:r="http://schemas.openxmlformats.org/officeDocument/2006/relationships" r:id="rId8"/>
          <a:extLst>
            <a:ext uri="{FF2B5EF4-FFF2-40B4-BE49-F238E27FC236}">
              <a16:creationId xmlns:a16="http://schemas.microsoft.com/office/drawing/2014/main" xmlns="" id="{00000000-0008-0000-0200-000009000000}"/>
            </a:ext>
          </a:extLst>
        </xdr:cNvPr>
        <xdr:cNvSpPr/>
      </xdr:nvSpPr>
      <xdr:spPr>
        <a:xfrm>
          <a:off x="2110102" y="51617707"/>
          <a:ext cx="604986" cy="108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1</xdr:col>
      <xdr:colOff>8442</xdr:colOff>
      <xdr:row>220</xdr:row>
      <xdr:rowOff>53752</xdr:rowOff>
    </xdr:from>
    <xdr:to>
      <xdr:col>122</xdr:col>
      <xdr:colOff>27440</xdr:colOff>
      <xdr:row>222</xdr:row>
      <xdr:rowOff>226705</xdr:rowOff>
    </xdr:to>
    <xdr:grpSp>
      <xdr:nvGrpSpPr>
        <xdr:cNvPr id="11" name="مجموعة 10">
          <a:extLst>
            <a:ext uri="{FF2B5EF4-FFF2-40B4-BE49-F238E27FC236}">
              <a16:creationId xmlns:a16="http://schemas.microsoft.com/office/drawing/2014/main" xmlns="" id="{00000000-0008-0000-0200-00000B000000}"/>
            </a:ext>
          </a:extLst>
        </xdr:cNvPr>
        <xdr:cNvGrpSpPr/>
      </xdr:nvGrpSpPr>
      <xdr:grpSpPr>
        <a:xfrm>
          <a:off x="229735" y="52412677"/>
          <a:ext cx="7581848" cy="477753"/>
          <a:chOff x="264600" y="42400415"/>
          <a:chExt cx="7428291" cy="400807"/>
        </a:xfrm>
      </xdr:grpSpPr>
      <xdr:grpSp>
        <xdr:nvGrpSpPr>
          <xdr:cNvPr id="31" name="مجموعة 30">
            <a:extLst>
              <a:ext uri="{FF2B5EF4-FFF2-40B4-BE49-F238E27FC236}">
                <a16:creationId xmlns:a16="http://schemas.microsoft.com/office/drawing/2014/main" xmlns="" id="{00000000-0008-0000-0200-00001F000000}"/>
              </a:ext>
            </a:extLst>
          </xdr:cNvPr>
          <xdr:cNvGrpSpPr/>
        </xdr:nvGrpSpPr>
        <xdr:grpSpPr>
          <a:xfrm>
            <a:off x="264600" y="42400415"/>
            <a:ext cx="7428291" cy="215825"/>
            <a:chOff x="264600" y="40523990"/>
            <a:chExt cx="7428291" cy="215825"/>
          </a:xfrm>
          <a:solidFill>
            <a:schemeClr val="bg2">
              <a:lumMod val="50000"/>
            </a:schemeClr>
          </a:solidFill>
        </xdr:grpSpPr>
        <xdr:sp macro="" textlink="">
          <xdr:nvSpPr>
            <xdr:cNvPr id="36" name="مستطيل: زوايا علوية مستديرة 148">
              <a:extLst>
                <a:ext uri="{FF2B5EF4-FFF2-40B4-BE49-F238E27FC236}">
                  <a16:creationId xmlns:a16="http://schemas.microsoft.com/office/drawing/2014/main" xmlns="" id="{00000000-0008-0000-0200-000024000000}"/>
                </a:ext>
              </a:extLst>
            </xdr:cNvPr>
            <xdr:cNvSpPr/>
          </xdr:nvSpPr>
          <xdr:spPr>
            <a:xfrm>
              <a:off x="5378316" y="40523990"/>
              <a:ext cx="2314575" cy="215714"/>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الإدارة العامة لجودة التدريب</a:t>
              </a:r>
            </a:p>
          </xdr:txBody>
        </xdr:sp>
        <xdr:sp macro="" textlink="">
          <xdr:nvSpPr>
            <xdr:cNvPr id="37" name="مستطيل: زوايا علوية مستديرة 148">
              <a:extLst>
                <a:ext uri="{FF2B5EF4-FFF2-40B4-BE49-F238E27FC236}">
                  <a16:creationId xmlns:a16="http://schemas.microsoft.com/office/drawing/2014/main" xmlns="" id="{00000000-0008-0000-0200-000025000000}"/>
                </a:ext>
              </a:extLst>
            </xdr:cNvPr>
            <xdr:cNvSpPr/>
          </xdr:nvSpPr>
          <xdr:spPr>
            <a:xfrm>
              <a:off x="2826678" y="40524022"/>
              <a:ext cx="2314575" cy="215714"/>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الإصدار  الأول   -   فبراير   2023</a:t>
              </a:r>
            </a:p>
          </xdr:txBody>
        </xdr:sp>
        <xdr:sp macro="" textlink="">
          <xdr:nvSpPr>
            <xdr:cNvPr id="44" name="مستطيل: زوايا علوية مستديرة 148">
              <a:extLst>
                <a:ext uri="{FF2B5EF4-FFF2-40B4-BE49-F238E27FC236}">
                  <a16:creationId xmlns:a16="http://schemas.microsoft.com/office/drawing/2014/main" xmlns="" id="{00000000-0008-0000-0200-00002C000000}"/>
                </a:ext>
              </a:extLst>
            </xdr:cNvPr>
            <xdr:cNvSpPr/>
          </xdr:nvSpPr>
          <xdr:spPr>
            <a:xfrm>
              <a:off x="264600" y="40524100"/>
              <a:ext cx="2314575" cy="215715"/>
            </a:xfrm>
            <a:prstGeom prst="round2SameRect">
              <a:avLst>
                <a:gd name="adj1" fmla="val 50000"/>
                <a:gd name="adj2" fmla="val 0"/>
              </a:avLst>
            </a:prstGeom>
            <a:solidFill>
              <a:srgbClr val="25AFA5"/>
            </a:solidFill>
            <a:ln w="25400" cap="rnd">
              <a:no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gdqs@tvtc.gov.sa</a:t>
              </a:r>
              <a:endParaRPr kumimoji="0" lang="ar-SA" sz="1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endParaRPr>
            </a:p>
          </xdr:txBody>
        </xdr:sp>
      </xdr:grpSp>
      <xdr:sp macro="" textlink="">
        <xdr:nvSpPr>
          <xdr:cNvPr id="35" name="مستطيل: زاوية واحدة مستديرة 149">
            <a:extLst>
              <a:ext uri="{FF2B5EF4-FFF2-40B4-BE49-F238E27FC236}">
                <a16:creationId xmlns:a16="http://schemas.microsoft.com/office/drawing/2014/main" xmlns="" id="{00000000-0008-0000-0200-000023000000}"/>
              </a:ext>
            </a:extLst>
          </xdr:cNvPr>
          <xdr:cNvSpPr/>
        </xdr:nvSpPr>
        <xdr:spPr>
          <a:xfrm>
            <a:off x="276622" y="42624375"/>
            <a:ext cx="7406254" cy="176847"/>
          </a:xfrm>
          <a:prstGeom prst="round1Rect">
            <a:avLst>
              <a:gd name="adj" fmla="val 0"/>
            </a:avLst>
          </a:prstGeom>
          <a:noFill/>
          <a:ln w="19050">
            <a:solidFill>
              <a:srgbClr val="25AFA5"/>
            </a:solidFill>
            <a:extLst>
              <a:ext uri="{C807C97D-BFC1-408E-A445-0C87EB9F89A2}">
                <ask:lineSketchStyleProps xmlns:ask="http://schemas.microsoft.com/office/drawing/2018/sketchyshapes" xmlns="" sd="1219033472">
                  <a:custGeom>
                    <a:avLst/>
                    <a:gdLst>
                      <a:gd name="connsiteX0" fmla="*/ 0 w 10000"/>
                      <a:gd name="connsiteY0" fmla="*/ 0 h 10000"/>
                      <a:gd name="connsiteX1" fmla="*/ 10000 w 10000"/>
                      <a:gd name="connsiteY1" fmla="*/ 0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0000" h="10000" extrusionOk="0">
                        <a:moveTo>
                          <a:pt x="0" y="0"/>
                        </a:moveTo>
                        <a:cubicBezTo>
                          <a:pt x="1807" y="345"/>
                          <a:pt x="8563" y="-688"/>
                          <a:pt x="10000" y="0"/>
                        </a:cubicBezTo>
                        <a:lnTo>
                          <a:pt x="10000" y="0"/>
                        </a:lnTo>
                        <a:cubicBezTo>
                          <a:pt x="10018" y="3956"/>
                          <a:pt x="9851" y="8528"/>
                          <a:pt x="10000" y="10000"/>
                        </a:cubicBezTo>
                        <a:cubicBezTo>
                          <a:pt x="5276" y="10100"/>
                          <a:pt x="1106" y="9104"/>
                          <a:pt x="0" y="10000"/>
                        </a:cubicBezTo>
                        <a:cubicBezTo>
                          <a:pt x="513" y="8830"/>
                          <a:pt x="820" y="3451"/>
                          <a:pt x="0" y="0"/>
                        </a:cubicBezTo>
                        <a:close/>
                      </a:path>
                    </a:pathLst>
                  </a:custGeom>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1" anchor="ctr"/>
          <a:lstStyle/>
          <a:p>
            <a:pPr algn="ctr" rtl="1"/>
            <a:r>
              <a:rPr lang="ar-SA" sz="1300" b="1">
                <a:solidFill>
                  <a:srgbClr val="616365"/>
                </a:solidFill>
                <a:latin typeface="Sakkal Majalla" panose="02000000000000000000" pitchFamily="2" charset="-78"/>
                <a:cs typeface="Sakkal Majalla" panose="02000000000000000000" pitchFamily="2" charset="-78"/>
              </a:rPr>
              <a:t>يسعدنا استقبال مقترحاتكم لغرض التطوير والتحسين في الإصدار الثاني لنموذج ملف المدرب وتوصيف المقرر التدريبي من خلال بريد الإدارة الموضح أعلاه.</a:t>
            </a:r>
          </a:p>
        </xdr:txBody>
      </xdr:sp>
    </xdr:grpSp>
    <xdr:clientData/>
  </xdr:twoCellAnchor>
  <xdr:twoCellAnchor>
    <xdr:from>
      <xdr:col>1</xdr:col>
      <xdr:colOff>34015</xdr:colOff>
      <xdr:row>165</xdr:row>
      <xdr:rowOff>27207</xdr:rowOff>
    </xdr:from>
    <xdr:to>
      <xdr:col>122</xdr:col>
      <xdr:colOff>4815</xdr:colOff>
      <xdr:row>178</xdr:row>
      <xdr:rowOff>19148</xdr:rowOff>
    </xdr:to>
    <xdr:grpSp>
      <xdr:nvGrpSpPr>
        <xdr:cNvPr id="45" name="مجموعة 44">
          <a:extLst>
            <a:ext uri="{FF2B5EF4-FFF2-40B4-BE49-F238E27FC236}">
              <a16:creationId xmlns:a16="http://schemas.microsoft.com/office/drawing/2014/main" xmlns="" id="{00000000-0008-0000-0200-00002D000000}"/>
            </a:ext>
          </a:extLst>
        </xdr:cNvPr>
        <xdr:cNvGrpSpPr/>
      </xdr:nvGrpSpPr>
      <xdr:grpSpPr>
        <a:xfrm>
          <a:off x="252360" y="42899232"/>
          <a:ext cx="7533650" cy="2744666"/>
          <a:chOff x="250569" y="1445426"/>
          <a:chExt cx="7442302" cy="3238126"/>
        </a:xfrm>
      </xdr:grpSpPr>
      <xdr:sp macro="" textlink="">
        <xdr:nvSpPr>
          <xdr:cNvPr id="46" name="مستطيل: زوايا علوية مستديرة 148">
            <a:extLst>
              <a:ext uri="{FF2B5EF4-FFF2-40B4-BE49-F238E27FC236}">
                <a16:creationId xmlns:a16="http://schemas.microsoft.com/office/drawing/2014/main" xmlns="" id="{00000000-0008-0000-0200-00002E000000}"/>
              </a:ext>
            </a:extLst>
          </xdr:cNvPr>
          <xdr:cNvSpPr/>
        </xdr:nvSpPr>
        <xdr:spPr>
          <a:xfrm>
            <a:off x="250569" y="1445426"/>
            <a:ext cx="7442301" cy="484559"/>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المراجع التدريبية</a:t>
            </a:r>
          </a:p>
        </xdr:txBody>
      </xdr:sp>
      <xdr:sp macro="" textlink="">
        <xdr:nvSpPr>
          <xdr:cNvPr id="49" name="مستطيل: زاوية واحدة مستديرة 149">
            <a:extLst>
              <a:ext uri="{FF2B5EF4-FFF2-40B4-BE49-F238E27FC236}">
                <a16:creationId xmlns:a16="http://schemas.microsoft.com/office/drawing/2014/main" xmlns="" id="{00000000-0008-0000-0200-000031000000}"/>
              </a:ext>
            </a:extLst>
          </xdr:cNvPr>
          <xdr:cNvSpPr/>
        </xdr:nvSpPr>
        <xdr:spPr>
          <a:xfrm>
            <a:off x="250569" y="1936690"/>
            <a:ext cx="7442302" cy="2746862"/>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40824</xdr:colOff>
      <xdr:row>181</xdr:row>
      <xdr:rowOff>27217</xdr:rowOff>
    </xdr:from>
    <xdr:to>
      <xdr:col>122</xdr:col>
      <xdr:colOff>11624</xdr:colOff>
      <xdr:row>198</xdr:row>
      <xdr:rowOff>18313</xdr:rowOff>
    </xdr:to>
    <xdr:grpSp>
      <xdr:nvGrpSpPr>
        <xdr:cNvPr id="56" name="مجموعة 55">
          <a:extLst>
            <a:ext uri="{FF2B5EF4-FFF2-40B4-BE49-F238E27FC236}">
              <a16:creationId xmlns:a16="http://schemas.microsoft.com/office/drawing/2014/main" xmlns="" id="{00000000-0008-0000-0200-000038000000}"/>
            </a:ext>
          </a:extLst>
        </xdr:cNvPr>
        <xdr:cNvGrpSpPr/>
      </xdr:nvGrpSpPr>
      <xdr:grpSpPr>
        <a:xfrm>
          <a:off x="245551" y="45956767"/>
          <a:ext cx="7533650" cy="3353421"/>
          <a:chOff x="250569" y="1445426"/>
          <a:chExt cx="7442302" cy="3237622"/>
        </a:xfrm>
      </xdr:grpSpPr>
      <xdr:sp macro="" textlink="">
        <xdr:nvSpPr>
          <xdr:cNvPr id="59" name="مستطيل: زوايا علوية مستديرة 148">
            <a:extLst>
              <a:ext uri="{FF2B5EF4-FFF2-40B4-BE49-F238E27FC236}">
                <a16:creationId xmlns:a16="http://schemas.microsoft.com/office/drawing/2014/main" xmlns="" id="{00000000-0008-0000-0200-00003B000000}"/>
              </a:ext>
            </a:extLst>
          </xdr:cNvPr>
          <xdr:cNvSpPr/>
        </xdr:nvSpPr>
        <xdr:spPr>
          <a:xfrm>
            <a:off x="250569" y="1445426"/>
            <a:ext cx="7442301" cy="469218"/>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تقييم جودة المقرر</a:t>
            </a:r>
          </a:p>
        </xdr:txBody>
      </xdr:sp>
      <xdr:sp macro="" textlink="">
        <xdr:nvSpPr>
          <xdr:cNvPr id="60" name="مستطيل: زاوية واحدة مستديرة 149">
            <a:extLst>
              <a:ext uri="{FF2B5EF4-FFF2-40B4-BE49-F238E27FC236}">
                <a16:creationId xmlns:a16="http://schemas.microsoft.com/office/drawing/2014/main" xmlns="" id="{00000000-0008-0000-0200-00003C000000}"/>
              </a:ext>
            </a:extLst>
          </xdr:cNvPr>
          <xdr:cNvSpPr/>
        </xdr:nvSpPr>
        <xdr:spPr>
          <a:xfrm>
            <a:off x="250569" y="1823617"/>
            <a:ext cx="7442302" cy="2859431"/>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1</xdr:col>
      <xdr:colOff>40824</xdr:colOff>
      <xdr:row>201</xdr:row>
      <xdr:rowOff>27223</xdr:rowOff>
    </xdr:from>
    <xdr:to>
      <xdr:col>122</xdr:col>
      <xdr:colOff>11624</xdr:colOff>
      <xdr:row>210</xdr:row>
      <xdr:rowOff>19196</xdr:rowOff>
    </xdr:to>
    <xdr:grpSp>
      <xdr:nvGrpSpPr>
        <xdr:cNvPr id="61" name="مجموعة 60">
          <a:extLst>
            <a:ext uri="{FF2B5EF4-FFF2-40B4-BE49-F238E27FC236}">
              <a16:creationId xmlns:a16="http://schemas.microsoft.com/office/drawing/2014/main" xmlns="" id="{00000000-0008-0000-0200-00003D000000}"/>
            </a:ext>
          </a:extLst>
        </xdr:cNvPr>
        <xdr:cNvGrpSpPr/>
      </xdr:nvGrpSpPr>
      <xdr:grpSpPr>
        <a:xfrm>
          <a:off x="245551" y="49623898"/>
          <a:ext cx="7533650" cy="1801723"/>
          <a:chOff x="250569" y="1445425"/>
          <a:chExt cx="7442302" cy="1553682"/>
        </a:xfrm>
      </xdr:grpSpPr>
      <xdr:sp macro="" textlink="">
        <xdr:nvSpPr>
          <xdr:cNvPr id="13316" name="مستطيل: زوايا علوية مستديرة 148">
            <a:extLst>
              <a:ext uri="{FF2B5EF4-FFF2-40B4-BE49-F238E27FC236}">
                <a16:creationId xmlns:a16="http://schemas.microsoft.com/office/drawing/2014/main" xmlns="" id="{00000000-0008-0000-0200-000004340000}"/>
              </a:ext>
            </a:extLst>
          </xdr:cNvPr>
          <xdr:cNvSpPr/>
        </xdr:nvSpPr>
        <xdr:spPr>
          <a:xfrm>
            <a:off x="250569" y="1445425"/>
            <a:ext cx="7442301" cy="419093"/>
          </a:xfrm>
          <a:prstGeom prst="round2SameRect">
            <a:avLst>
              <a:gd name="adj1" fmla="val 50000"/>
              <a:gd name="adj2" fmla="val 0"/>
            </a:avLst>
          </a:prstGeom>
          <a:solidFill>
            <a:schemeClr val="bg2">
              <a:lumMod val="50000"/>
            </a:schemeClr>
          </a:solidFill>
          <a:ln w="25400" cap="rnd">
            <a:solidFill>
              <a:schemeClr val="bg2">
                <a:lumMod val="50000"/>
              </a:scheme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0" bIns="36000" rtlCol="1" anchor="ctr" anchorCtr="0"/>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ar-SA" sz="2500" b="1" i="0" u="none" strike="noStrike" kern="0" cap="none" spc="0" normalizeH="0" baseline="0" noProof="0">
                <a:ln>
                  <a:noFill/>
                </a:ln>
                <a:solidFill>
                  <a:prstClr val="white"/>
                </a:solidFill>
                <a:effectLst/>
                <a:uLnTx/>
                <a:uFillTx/>
                <a:latin typeface="Sakkal Majalla" panose="02000000000000000000" pitchFamily="2" charset="-78"/>
                <a:ea typeface="+mn-ea"/>
                <a:cs typeface="Sakkal Majalla" panose="02000000000000000000" pitchFamily="2" charset="-78"/>
              </a:rPr>
              <a:t>روابط مهمة</a:t>
            </a:r>
          </a:p>
        </xdr:txBody>
      </xdr:sp>
      <xdr:sp macro="" textlink="">
        <xdr:nvSpPr>
          <xdr:cNvPr id="13317" name="مستطيل: زاوية واحدة مستديرة 149">
            <a:extLst>
              <a:ext uri="{FF2B5EF4-FFF2-40B4-BE49-F238E27FC236}">
                <a16:creationId xmlns:a16="http://schemas.microsoft.com/office/drawing/2014/main" xmlns="" id="{00000000-0008-0000-0200-000005340000}"/>
              </a:ext>
            </a:extLst>
          </xdr:cNvPr>
          <xdr:cNvSpPr/>
        </xdr:nvSpPr>
        <xdr:spPr>
          <a:xfrm>
            <a:off x="250569" y="1765330"/>
            <a:ext cx="7442302" cy="1233777"/>
          </a:xfrm>
          <a:prstGeom prst="round1Rect">
            <a:avLst>
              <a:gd name="adj" fmla="val 0"/>
            </a:avLst>
          </a:prstGeom>
          <a:noFill/>
          <a:ln w="25400">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grpSp>
    <xdr:clientData/>
  </xdr:twoCellAnchor>
  <xdr:twoCellAnchor>
    <xdr:from>
      <xdr:col>84</xdr:col>
      <xdr:colOff>8659</xdr:colOff>
      <xdr:row>171</xdr:row>
      <xdr:rowOff>155864</xdr:rowOff>
    </xdr:from>
    <xdr:to>
      <xdr:col>116</xdr:col>
      <xdr:colOff>43295</xdr:colOff>
      <xdr:row>171</xdr:row>
      <xdr:rowOff>346363</xdr:rowOff>
    </xdr:to>
    <xdr:sp macro="" textlink="">
      <xdr:nvSpPr>
        <xdr:cNvPr id="13318" name="مربع نص 13317">
          <a:hlinkClick xmlns:r="http://schemas.openxmlformats.org/officeDocument/2006/relationships" r:id="rId9"/>
          <a:extLst>
            <a:ext uri="{FF2B5EF4-FFF2-40B4-BE49-F238E27FC236}">
              <a16:creationId xmlns:a16="http://schemas.microsoft.com/office/drawing/2014/main" xmlns="" id="{00000000-0008-0000-0200-000006340000}"/>
            </a:ext>
          </a:extLst>
        </xdr:cNvPr>
        <xdr:cNvSpPr txBox="1"/>
      </xdr:nvSpPr>
      <xdr:spPr>
        <a:xfrm>
          <a:off x="623455" y="54924614"/>
          <a:ext cx="188248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51955</xdr:colOff>
      <xdr:row>173</xdr:row>
      <xdr:rowOff>155863</xdr:rowOff>
    </xdr:from>
    <xdr:to>
      <xdr:col>116</xdr:col>
      <xdr:colOff>17318</xdr:colOff>
      <xdr:row>173</xdr:row>
      <xdr:rowOff>346362</xdr:rowOff>
    </xdr:to>
    <xdr:sp macro="" textlink="">
      <xdr:nvSpPr>
        <xdr:cNvPr id="13320" name="مربع نص 13319">
          <a:hlinkClick xmlns:r="http://schemas.openxmlformats.org/officeDocument/2006/relationships" r:id="rId10"/>
          <a:extLst>
            <a:ext uri="{FF2B5EF4-FFF2-40B4-BE49-F238E27FC236}">
              <a16:creationId xmlns:a16="http://schemas.microsoft.com/office/drawing/2014/main" xmlns="" id="{00000000-0008-0000-0200-000008340000}"/>
            </a:ext>
          </a:extLst>
        </xdr:cNvPr>
        <xdr:cNvSpPr txBox="1"/>
      </xdr:nvSpPr>
      <xdr:spPr>
        <a:xfrm>
          <a:off x="649432" y="55486588"/>
          <a:ext cx="1927513"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60614</xdr:colOff>
      <xdr:row>175</xdr:row>
      <xdr:rowOff>163656</xdr:rowOff>
    </xdr:from>
    <xdr:to>
      <xdr:col>116</xdr:col>
      <xdr:colOff>25977</xdr:colOff>
      <xdr:row>175</xdr:row>
      <xdr:rowOff>354155</xdr:rowOff>
    </xdr:to>
    <xdr:sp macro="" textlink="">
      <xdr:nvSpPr>
        <xdr:cNvPr id="13321" name="مربع نص 13320">
          <a:hlinkClick xmlns:r="http://schemas.openxmlformats.org/officeDocument/2006/relationships" r:id="rId11"/>
          <a:extLst>
            <a:ext uri="{FF2B5EF4-FFF2-40B4-BE49-F238E27FC236}">
              <a16:creationId xmlns:a16="http://schemas.microsoft.com/office/drawing/2014/main" xmlns="" id="{00000000-0008-0000-0200-000009340000}"/>
            </a:ext>
          </a:extLst>
        </xdr:cNvPr>
        <xdr:cNvSpPr txBox="1"/>
      </xdr:nvSpPr>
      <xdr:spPr>
        <a:xfrm>
          <a:off x="640773" y="56056356"/>
          <a:ext cx="1927513"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9</xdr:col>
      <xdr:colOff>52136</xdr:colOff>
      <xdr:row>207</xdr:row>
      <xdr:rowOff>169248</xdr:rowOff>
    </xdr:from>
    <xdr:to>
      <xdr:col>23</xdr:col>
      <xdr:colOff>52193</xdr:colOff>
      <xdr:row>207</xdr:row>
      <xdr:rowOff>380998</xdr:rowOff>
    </xdr:to>
    <xdr:sp macro="" textlink="">
      <xdr:nvSpPr>
        <xdr:cNvPr id="13322" name="مستطيل 13321">
          <a:hlinkClick xmlns:r="http://schemas.openxmlformats.org/officeDocument/2006/relationships" r:id="rId12"/>
          <a:extLst>
            <a:ext uri="{FF2B5EF4-FFF2-40B4-BE49-F238E27FC236}">
              <a16:creationId xmlns:a16="http://schemas.microsoft.com/office/drawing/2014/main" xmlns="" id="{00000000-0008-0000-0200-00000A340000}"/>
            </a:ext>
          </a:extLst>
        </xdr:cNvPr>
        <xdr:cNvSpPr/>
      </xdr:nvSpPr>
      <xdr:spPr>
        <a:xfrm>
          <a:off x="6358132" y="61481673"/>
          <a:ext cx="933507" cy="21175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32</xdr:col>
      <xdr:colOff>37864</xdr:colOff>
      <xdr:row>207</xdr:row>
      <xdr:rowOff>160230</xdr:rowOff>
    </xdr:from>
    <xdr:to>
      <xdr:col>47</xdr:col>
      <xdr:colOff>14671</xdr:colOff>
      <xdr:row>207</xdr:row>
      <xdr:rowOff>376230</xdr:rowOff>
    </xdr:to>
    <xdr:sp macro="" textlink="">
      <xdr:nvSpPr>
        <xdr:cNvPr id="13326" name="مستطيل 13325">
          <a:hlinkClick xmlns:r="http://schemas.openxmlformats.org/officeDocument/2006/relationships" r:id="rId13"/>
          <a:extLst>
            <a:ext uri="{FF2B5EF4-FFF2-40B4-BE49-F238E27FC236}">
              <a16:creationId xmlns:a16="http://schemas.microsoft.com/office/drawing/2014/main" xmlns="" id="{00000000-0008-0000-0200-00000E340000}"/>
            </a:ext>
          </a:extLst>
        </xdr:cNvPr>
        <xdr:cNvSpPr/>
      </xdr:nvSpPr>
      <xdr:spPr>
        <a:xfrm>
          <a:off x="4871654" y="61472655"/>
          <a:ext cx="900732"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76</xdr:col>
      <xdr:colOff>48782</xdr:colOff>
      <xdr:row>207</xdr:row>
      <xdr:rowOff>169361</xdr:rowOff>
    </xdr:from>
    <xdr:to>
      <xdr:col>89</xdr:col>
      <xdr:colOff>49474</xdr:colOff>
      <xdr:row>207</xdr:row>
      <xdr:rowOff>380998</xdr:rowOff>
    </xdr:to>
    <xdr:sp macro="" textlink="">
      <xdr:nvSpPr>
        <xdr:cNvPr id="13327" name="مستطيل 13326">
          <a:hlinkClick xmlns:r="http://schemas.openxmlformats.org/officeDocument/2006/relationships" r:id="rId14"/>
          <a:extLst>
            <a:ext uri="{FF2B5EF4-FFF2-40B4-BE49-F238E27FC236}">
              <a16:creationId xmlns:a16="http://schemas.microsoft.com/office/drawing/2014/main" xmlns="" id="{00000000-0008-0000-0200-00000F340000}"/>
            </a:ext>
          </a:extLst>
        </xdr:cNvPr>
        <xdr:cNvSpPr/>
      </xdr:nvSpPr>
      <xdr:spPr>
        <a:xfrm>
          <a:off x="2188901" y="61481786"/>
          <a:ext cx="772217" cy="2116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98</xdr:col>
      <xdr:colOff>8627</xdr:colOff>
      <xdr:row>207</xdr:row>
      <xdr:rowOff>178886</xdr:rowOff>
    </xdr:from>
    <xdr:to>
      <xdr:col>115</xdr:col>
      <xdr:colOff>42147</xdr:colOff>
      <xdr:row>207</xdr:row>
      <xdr:rowOff>394886</xdr:rowOff>
    </xdr:to>
    <xdr:sp macro="" textlink="">
      <xdr:nvSpPr>
        <xdr:cNvPr id="13328" name="مستطيل 13327">
          <a:extLst>
            <a:ext uri="{FF2B5EF4-FFF2-40B4-BE49-F238E27FC236}">
              <a16:creationId xmlns:a16="http://schemas.microsoft.com/office/drawing/2014/main" xmlns="" id="{00000000-0008-0000-0200-000010340000}"/>
            </a:ext>
          </a:extLst>
        </xdr:cNvPr>
        <xdr:cNvSpPr/>
      </xdr:nvSpPr>
      <xdr:spPr>
        <a:xfrm>
          <a:off x="691278" y="61491311"/>
          <a:ext cx="1014595"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55</xdr:col>
      <xdr:colOff>43823</xdr:colOff>
      <xdr:row>207</xdr:row>
      <xdr:rowOff>179281</xdr:rowOff>
    </xdr:from>
    <xdr:to>
      <xdr:col>67</xdr:col>
      <xdr:colOff>15842</xdr:colOff>
      <xdr:row>207</xdr:row>
      <xdr:rowOff>395281</xdr:rowOff>
    </xdr:to>
    <xdr:sp macro="" textlink="">
      <xdr:nvSpPr>
        <xdr:cNvPr id="13329" name="مستطيل 13328">
          <a:hlinkClick xmlns:r="http://schemas.openxmlformats.org/officeDocument/2006/relationships" r:id="rId15"/>
          <a:extLst>
            <a:ext uri="{FF2B5EF4-FFF2-40B4-BE49-F238E27FC236}">
              <a16:creationId xmlns:a16="http://schemas.microsoft.com/office/drawing/2014/main" xmlns="" id="{00000000-0008-0000-0200-000011340000}"/>
            </a:ext>
          </a:extLst>
        </xdr:cNvPr>
        <xdr:cNvSpPr/>
      </xdr:nvSpPr>
      <xdr:spPr>
        <a:xfrm>
          <a:off x="3536983" y="61491706"/>
          <a:ext cx="772119" cy="2160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85</xdr:col>
      <xdr:colOff>8659</xdr:colOff>
      <xdr:row>171</xdr:row>
      <xdr:rowOff>155864</xdr:rowOff>
    </xdr:from>
    <xdr:to>
      <xdr:col>117</xdr:col>
      <xdr:colOff>43295</xdr:colOff>
      <xdr:row>171</xdr:row>
      <xdr:rowOff>346363</xdr:rowOff>
    </xdr:to>
    <xdr:sp macro="" textlink="">
      <xdr:nvSpPr>
        <xdr:cNvPr id="13330" name="مربع نص 13329">
          <a:hlinkClick xmlns:r="http://schemas.openxmlformats.org/officeDocument/2006/relationships" r:id="rId9"/>
          <a:extLst>
            <a:ext uri="{FF2B5EF4-FFF2-40B4-BE49-F238E27FC236}">
              <a16:creationId xmlns:a16="http://schemas.microsoft.com/office/drawing/2014/main" xmlns="" id="{00000000-0008-0000-0200-000012340000}"/>
            </a:ext>
          </a:extLst>
        </xdr:cNvPr>
        <xdr:cNvSpPr txBox="1"/>
      </xdr:nvSpPr>
      <xdr:spPr>
        <a:xfrm>
          <a:off x="556780" y="54924614"/>
          <a:ext cx="193963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51955</xdr:colOff>
      <xdr:row>173</xdr:row>
      <xdr:rowOff>155863</xdr:rowOff>
    </xdr:from>
    <xdr:to>
      <xdr:col>117</xdr:col>
      <xdr:colOff>17318</xdr:colOff>
      <xdr:row>173</xdr:row>
      <xdr:rowOff>346362</xdr:rowOff>
    </xdr:to>
    <xdr:sp macro="" textlink="">
      <xdr:nvSpPr>
        <xdr:cNvPr id="13331" name="مربع نص 13330">
          <a:hlinkClick xmlns:r="http://schemas.openxmlformats.org/officeDocument/2006/relationships" r:id="rId10"/>
          <a:extLst>
            <a:ext uri="{FF2B5EF4-FFF2-40B4-BE49-F238E27FC236}">
              <a16:creationId xmlns:a16="http://schemas.microsoft.com/office/drawing/2014/main" xmlns="" id="{00000000-0008-0000-0200-000013340000}"/>
            </a:ext>
          </a:extLst>
        </xdr:cNvPr>
        <xdr:cNvSpPr txBox="1"/>
      </xdr:nvSpPr>
      <xdr:spPr>
        <a:xfrm>
          <a:off x="582757" y="55486588"/>
          <a:ext cx="1917988"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60614</xdr:colOff>
      <xdr:row>175</xdr:row>
      <xdr:rowOff>163656</xdr:rowOff>
    </xdr:from>
    <xdr:to>
      <xdr:col>117</xdr:col>
      <xdr:colOff>25977</xdr:colOff>
      <xdr:row>175</xdr:row>
      <xdr:rowOff>354155</xdr:rowOff>
    </xdr:to>
    <xdr:sp macro="" textlink="">
      <xdr:nvSpPr>
        <xdr:cNvPr id="13332" name="مربع نص 13331">
          <a:hlinkClick xmlns:r="http://schemas.openxmlformats.org/officeDocument/2006/relationships" r:id="rId11"/>
          <a:extLst>
            <a:ext uri="{FF2B5EF4-FFF2-40B4-BE49-F238E27FC236}">
              <a16:creationId xmlns:a16="http://schemas.microsoft.com/office/drawing/2014/main" xmlns="" id="{00000000-0008-0000-0200-000014340000}"/>
            </a:ext>
          </a:extLst>
        </xdr:cNvPr>
        <xdr:cNvSpPr txBox="1"/>
      </xdr:nvSpPr>
      <xdr:spPr>
        <a:xfrm>
          <a:off x="574098" y="56056356"/>
          <a:ext cx="1927513"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84</xdr:col>
      <xdr:colOff>8659</xdr:colOff>
      <xdr:row>171</xdr:row>
      <xdr:rowOff>155864</xdr:rowOff>
    </xdr:from>
    <xdr:to>
      <xdr:col>116</xdr:col>
      <xdr:colOff>43295</xdr:colOff>
      <xdr:row>171</xdr:row>
      <xdr:rowOff>346363</xdr:rowOff>
    </xdr:to>
    <xdr:sp macro="" textlink="">
      <xdr:nvSpPr>
        <xdr:cNvPr id="13333" name="مربع نص 13332">
          <a:hlinkClick xmlns:r="http://schemas.openxmlformats.org/officeDocument/2006/relationships" r:id="rId9"/>
          <a:extLst>
            <a:ext uri="{FF2B5EF4-FFF2-40B4-BE49-F238E27FC236}">
              <a16:creationId xmlns:a16="http://schemas.microsoft.com/office/drawing/2014/main" xmlns="" id="{00000000-0008-0000-0200-000015340000}"/>
            </a:ext>
          </a:extLst>
        </xdr:cNvPr>
        <xdr:cNvSpPr txBox="1"/>
      </xdr:nvSpPr>
      <xdr:spPr>
        <a:xfrm>
          <a:off x="623455" y="54924614"/>
          <a:ext cx="1882486"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51955</xdr:colOff>
      <xdr:row>173</xdr:row>
      <xdr:rowOff>155863</xdr:rowOff>
    </xdr:from>
    <xdr:to>
      <xdr:col>116</xdr:col>
      <xdr:colOff>17318</xdr:colOff>
      <xdr:row>173</xdr:row>
      <xdr:rowOff>346362</xdr:rowOff>
    </xdr:to>
    <xdr:sp macro="" textlink="">
      <xdr:nvSpPr>
        <xdr:cNvPr id="13334" name="مربع نص 13333">
          <a:hlinkClick xmlns:r="http://schemas.openxmlformats.org/officeDocument/2006/relationships" r:id="rId10"/>
          <a:extLst>
            <a:ext uri="{FF2B5EF4-FFF2-40B4-BE49-F238E27FC236}">
              <a16:creationId xmlns:a16="http://schemas.microsoft.com/office/drawing/2014/main" xmlns="" id="{00000000-0008-0000-0200-000016340000}"/>
            </a:ext>
          </a:extLst>
        </xdr:cNvPr>
        <xdr:cNvSpPr txBox="1"/>
      </xdr:nvSpPr>
      <xdr:spPr>
        <a:xfrm>
          <a:off x="649432" y="55486588"/>
          <a:ext cx="1927513"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82</xdr:col>
      <xdr:colOff>60614</xdr:colOff>
      <xdr:row>175</xdr:row>
      <xdr:rowOff>163656</xdr:rowOff>
    </xdr:from>
    <xdr:to>
      <xdr:col>116</xdr:col>
      <xdr:colOff>25977</xdr:colOff>
      <xdr:row>175</xdr:row>
      <xdr:rowOff>354155</xdr:rowOff>
    </xdr:to>
    <xdr:sp macro="" textlink="">
      <xdr:nvSpPr>
        <xdr:cNvPr id="13335" name="مربع نص 13334">
          <a:hlinkClick xmlns:r="http://schemas.openxmlformats.org/officeDocument/2006/relationships" r:id="rId11"/>
          <a:extLst>
            <a:ext uri="{FF2B5EF4-FFF2-40B4-BE49-F238E27FC236}">
              <a16:creationId xmlns:a16="http://schemas.microsoft.com/office/drawing/2014/main" xmlns="" id="{00000000-0008-0000-0200-000017340000}"/>
            </a:ext>
          </a:extLst>
        </xdr:cNvPr>
        <xdr:cNvSpPr txBox="1"/>
      </xdr:nvSpPr>
      <xdr:spPr>
        <a:xfrm>
          <a:off x="640773" y="56056356"/>
          <a:ext cx="1927513"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44</xdr:col>
      <xdr:colOff>33407</xdr:colOff>
      <xdr:row>171</xdr:row>
      <xdr:rowOff>192344</xdr:rowOff>
    </xdr:from>
    <xdr:to>
      <xdr:col>76</xdr:col>
      <xdr:colOff>5574</xdr:colOff>
      <xdr:row>171</xdr:row>
      <xdr:rowOff>382843</xdr:rowOff>
    </xdr:to>
    <xdr:sp macro="" textlink="">
      <xdr:nvSpPr>
        <xdr:cNvPr id="13338" name="مربع نص 13337">
          <a:hlinkClick xmlns:r="http://schemas.openxmlformats.org/officeDocument/2006/relationships" r:id="rId16"/>
          <a:extLst>
            <a:ext uri="{FF2B5EF4-FFF2-40B4-BE49-F238E27FC236}">
              <a16:creationId xmlns:a16="http://schemas.microsoft.com/office/drawing/2014/main" xmlns="" id="{00000000-0008-0000-0200-00001A340000}"/>
            </a:ext>
          </a:extLst>
        </xdr:cNvPr>
        <xdr:cNvSpPr txBox="1"/>
      </xdr:nvSpPr>
      <xdr:spPr>
        <a:xfrm>
          <a:off x="3001604" y="44129808"/>
          <a:ext cx="2128900"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7</xdr:col>
      <xdr:colOff>40828</xdr:colOff>
      <xdr:row>171</xdr:row>
      <xdr:rowOff>183684</xdr:rowOff>
    </xdr:from>
    <xdr:to>
      <xdr:col>39</xdr:col>
      <xdr:colOff>7429</xdr:colOff>
      <xdr:row>171</xdr:row>
      <xdr:rowOff>374183</xdr:rowOff>
    </xdr:to>
    <xdr:sp macro="" textlink="">
      <xdr:nvSpPr>
        <xdr:cNvPr id="13339" name="مربع نص 13338">
          <a:hlinkClick xmlns:r="http://schemas.openxmlformats.org/officeDocument/2006/relationships" r:id="rId17"/>
          <a:extLst>
            <a:ext uri="{FF2B5EF4-FFF2-40B4-BE49-F238E27FC236}">
              <a16:creationId xmlns:a16="http://schemas.microsoft.com/office/drawing/2014/main" xmlns="" id="{00000000-0008-0000-0200-00001B340000}"/>
            </a:ext>
          </a:extLst>
        </xdr:cNvPr>
        <xdr:cNvSpPr txBox="1"/>
      </xdr:nvSpPr>
      <xdr:spPr>
        <a:xfrm>
          <a:off x="5415017" y="44121148"/>
          <a:ext cx="2143744"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64</xdr:col>
      <xdr:colOff>47101</xdr:colOff>
      <xdr:row>149</xdr:row>
      <xdr:rowOff>68036</xdr:rowOff>
    </xdr:from>
    <xdr:to>
      <xdr:col>82</xdr:col>
      <xdr:colOff>47626</xdr:colOff>
      <xdr:row>149</xdr:row>
      <xdr:rowOff>319768</xdr:rowOff>
    </xdr:to>
    <xdr:sp macro="" textlink="">
      <xdr:nvSpPr>
        <xdr:cNvPr id="13340" name="مربع نص 13339">
          <a:extLst>
            <a:ext uri="{FF2B5EF4-FFF2-40B4-BE49-F238E27FC236}">
              <a16:creationId xmlns:a16="http://schemas.microsoft.com/office/drawing/2014/main" xmlns="" id="{00000000-0008-0000-0200-00001C340000}"/>
            </a:ext>
          </a:extLst>
        </xdr:cNvPr>
        <xdr:cNvSpPr txBox="1"/>
      </xdr:nvSpPr>
      <xdr:spPr>
        <a:xfrm>
          <a:off x="2581274" y="40492136"/>
          <a:ext cx="1134000" cy="251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1" anchor="ctr" anchorCtr="0"/>
        <a:lstStyle/>
        <a:p>
          <a:pPr algn="ctr" rtl="1"/>
          <a:r>
            <a:rPr lang="ar-SA" sz="1100">
              <a:solidFill>
                <a:srgbClr val="FF0000"/>
              </a:solidFill>
              <a:latin typeface="Sakkal Majalla" panose="02000000000000000000" pitchFamily="2" charset="-78"/>
              <a:cs typeface="Sakkal Majalla" panose="02000000000000000000" pitchFamily="2" charset="-78"/>
            </a:rPr>
            <a:t>= 6 ساعات </a:t>
          </a:r>
          <a:r>
            <a:rPr lang="x-none" sz="1100">
              <a:solidFill>
                <a:srgbClr val="FF0000"/>
              </a:solidFill>
              <a:latin typeface="Sakkal Majalla" panose="02000000000000000000" pitchFamily="2" charset="-78"/>
              <a:cs typeface="Sakkal Majalla" panose="02000000000000000000" pitchFamily="2" charset="-78"/>
            </a:rPr>
            <a:t>X</a:t>
          </a:r>
          <a:r>
            <a:rPr lang="ar-SA" sz="1100">
              <a:solidFill>
                <a:srgbClr val="FF0000"/>
              </a:solidFill>
              <a:latin typeface="Sakkal Majalla" panose="02000000000000000000" pitchFamily="2" charset="-78"/>
              <a:cs typeface="Sakkal Majalla" panose="02000000000000000000" pitchFamily="2" charset="-78"/>
            </a:rPr>
            <a:t> 13 أسبوع =</a:t>
          </a:r>
        </a:p>
      </xdr:txBody>
    </xdr:sp>
    <xdr:clientData/>
  </xdr:twoCellAnchor>
  <xdr:twoCellAnchor>
    <xdr:from>
      <xdr:col>30</xdr:col>
      <xdr:colOff>51954</xdr:colOff>
      <xdr:row>186</xdr:row>
      <xdr:rowOff>158389</xdr:rowOff>
    </xdr:from>
    <xdr:to>
      <xdr:col>94</xdr:col>
      <xdr:colOff>43295</xdr:colOff>
      <xdr:row>186</xdr:row>
      <xdr:rowOff>230086</xdr:rowOff>
    </xdr:to>
    <xdr:sp macro="" textlink="">
      <xdr:nvSpPr>
        <xdr:cNvPr id="13342" name="مربع نص 13341">
          <a:hlinkClick xmlns:r="http://schemas.openxmlformats.org/officeDocument/2006/relationships" r:id="rId18"/>
          <a:extLst>
            <a:ext uri="{FF2B5EF4-FFF2-40B4-BE49-F238E27FC236}">
              <a16:creationId xmlns:a16="http://schemas.microsoft.com/office/drawing/2014/main" xmlns="" id="{00000000-0008-0000-0200-00001E340000}"/>
            </a:ext>
          </a:extLst>
        </xdr:cNvPr>
        <xdr:cNvSpPr txBox="1"/>
      </xdr:nvSpPr>
      <xdr:spPr>
        <a:xfrm>
          <a:off x="1937905" y="47897689"/>
          <a:ext cx="3953741" cy="71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39</xdr:col>
      <xdr:colOff>34635</xdr:colOff>
      <xdr:row>204</xdr:row>
      <xdr:rowOff>160197</xdr:rowOff>
    </xdr:from>
    <xdr:to>
      <xdr:col>85</xdr:col>
      <xdr:colOff>17317</xdr:colOff>
      <xdr:row>204</xdr:row>
      <xdr:rowOff>255447</xdr:rowOff>
    </xdr:to>
    <xdr:sp macro="" textlink="">
      <xdr:nvSpPr>
        <xdr:cNvPr id="13343" name="مربع نص 13342">
          <a:hlinkClick xmlns:r="http://schemas.openxmlformats.org/officeDocument/2006/relationships" r:id="rId19"/>
          <a:extLst>
            <a:ext uri="{FF2B5EF4-FFF2-40B4-BE49-F238E27FC236}">
              <a16:creationId xmlns:a16="http://schemas.microsoft.com/office/drawing/2014/main" xmlns="" id="{00000000-0008-0000-0200-00001F340000}"/>
            </a:ext>
          </a:extLst>
        </xdr:cNvPr>
        <xdr:cNvSpPr txBox="1"/>
      </xdr:nvSpPr>
      <xdr:spPr>
        <a:xfrm>
          <a:off x="2487758" y="51137997"/>
          <a:ext cx="2821132" cy="9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rtl="1"/>
          <a:endParaRPr lang="ar-SA" sz="1100"/>
        </a:p>
      </xdr:txBody>
    </xdr:sp>
    <xdr:clientData/>
  </xdr:twoCellAnchor>
  <xdr:twoCellAnchor>
    <xdr:from>
      <xdr:col>45</xdr:col>
      <xdr:colOff>34018</xdr:colOff>
      <xdr:row>145</xdr:row>
      <xdr:rowOff>2741840</xdr:rowOff>
    </xdr:from>
    <xdr:to>
      <xdr:col>56</xdr:col>
      <xdr:colOff>6803</xdr:colOff>
      <xdr:row>145</xdr:row>
      <xdr:rowOff>2939840</xdr:rowOff>
    </xdr:to>
    <xdr:sp macro="" textlink="">
      <xdr:nvSpPr>
        <xdr:cNvPr id="10" name="مستطيل 9">
          <a:extLst>
            <a:ext uri="{FF2B5EF4-FFF2-40B4-BE49-F238E27FC236}">
              <a16:creationId xmlns:a16="http://schemas.microsoft.com/office/drawing/2014/main" xmlns="" id="{00000000-0008-0000-0200-00000A000000}"/>
            </a:ext>
          </a:extLst>
        </xdr:cNvPr>
        <xdr:cNvSpPr/>
      </xdr:nvSpPr>
      <xdr:spPr>
        <a:xfrm>
          <a:off x="4340679" y="38712322"/>
          <a:ext cx="721178" cy="1980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85</xdr:col>
      <xdr:colOff>13607</xdr:colOff>
      <xdr:row>149</xdr:row>
      <xdr:rowOff>6803</xdr:rowOff>
    </xdr:from>
    <xdr:to>
      <xdr:col>90</xdr:col>
      <xdr:colOff>20409</xdr:colOff>
      <xdr:row>149</xdr:row>
      <xdr:rowOff>367393</xdr:rowOff>
    </xdr:to>
    <xdr:sp macro="" textlink="">
      <xdr:nvSpPr>
        <xdr:cNvPr id="12" name="مستطيل 11">
          <a:extLst>
            <a:ext uri="{FF2B5EF4-FFF2-40B4-BE49-F238E27FC236}">
              <a16:creationId xmlns:a16="http://schemas.microsoft.com/office/drawing/2014/main" xmlns="" id="{00000000-0008-0000-0200-00000C000000}"/>
            </a:ext>
          </a:extLst>
        </xdr:cNvPr>
        <xdr:cNvSpPr/>
      </xdr:nvSpPr>
      <xdr:spPr>
        <a:xfrm>
          <a:off x="2177144" y="40141071"/>
          <a:ext cx="346981" cy="36059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1100"/>
        </a:p>
      </xdr:txBody>
    </xdr:sp>
    <xdr:clientData/>
  </xdr:twoCellAnchor>
  <xdr:twoCellAnchor>
    <xdr:from>
      <xdr:col>87</xdr:col>
      <xdr:colOff>51026</xdr:colOff>
      <xdr:row>146</xdr:row>
      <xdr:rowOff>653787</xdr:rowOff>
    </xdr:from>
    <xdr:to>
      <xdr:col>87</xdr:col>
      <xdr:colOff>51026</xdr:colOff>
      <xdr:row>148</xdr:row>
      <xdr:rowOff>42430</xdr:rowOff>
    </xdr:to>
    <xdr:cxnSp macro="">
      <xdr:nvCxnSpPr>
        <xdr:cNvPr id="13399" name="رابط مستقيم 13398">
          <a:extLst>
            <a:ext uri="{FF2B5EF4-FFF2-40B4-BE49-F238E27FC236}">
              <a16:creationId xmlns:a16="http://schemas.microsoft.com/office/drawing/2014/main" xmlns="" id="{00000000-0008-0000-0200-000057340000}"/>
            </a:ext>
          </a:extLst>
        </xdr:cNvPr>
        <xdr:cNvCxnSpPr/>
      </xdr:nvCxnSpPr>
      <xdr:spPr>
        <a:xfrm flipH="1">
          <a:off x="2350635" y="39672269"/>
          <a:ext cx="0" cy="4500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6803</xdr:colOff>
      <xdr:row>145</xdr:row>
      <xdr:rowOff>2840840</xdr:rowOff>
    </xdr:from>
    <xdr:to>
      <xdr:col>87</xdr:col>
      <xdr:colOff>47625</xdr:colOff>
      <xdr:row>146</xdr:row>
      <xdr:rowOff>659947</xdr:rowOff>
    </xdr:to>
    <xdr:cxnSp macro="">
      <xdr:nvCxnSpPr>
        <xdr:cNvPr id="13416" name="موصل: على شكل مرفق 13415">
          <a:extLst>
            <a:ext uri="{FF2B5EF4-FFF2-40B4-BE49-F238E27FC236}">
              <a16:creationId xmlns:a16="http://schemas.microsoft.com/office/drawing/2014/main" xmlns="" id="{00000000-0008-0000-0200-000068340000}"/>
            </a:ext>
          </a:extLst>
        </xdr:cNvPr>
        <xdr:cNvCxnSpPr>
          <a:endCxn id="10" idx="1"/>
        </xdr:cNvCxnSpPr>
      </xdr:nvCxnSpPr>
      <xdr:spPr>
        <a:xfrm flipV="1">
          <a:off x="2354036" y="38811322"/>
          <a:ext cx="1986643" cy="867107"/>
        </a:xfrm>
        <a:prstGeom prst="bentConnector3">
          <a:avLst>
            <a:gd name="adj1" fmla="val 95206"/>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54827</xdr:colOff>
      <xdr:row>1</xdr:row>
      <xdr:rowOff>28575</xdr:rowOff>
    </xdr:from>
    <xdr:to>
      <xdr:col>67</xdr:col>
      <xdr:colOff>28656</xdr:colOff>
      <xdr:row>5</xdr:row>
      <xdr:rowOff>103059</xdr:rowOff>
    </xdr:to>
    <xdr:grpSp>
      <xdr:nvGrpSpPr>
        <xdr:cNvPr id="6" name="مجموعة 5">
          <a:extLst>
            <a:ext uri="{FF2B5EF4-FFF2-40B4-BE49-F238E27FC236}">
              <a16:creationId xmlns:a16="http://schemas.microsoft.com/office/drawing/2014/main" xmlns="" id="{00000000-0008-0000-0200-000006000000}"/>
            </a:ext>
          </a:extLst>
        </xdr:cNvPr>
        <xdr:cNvGrpSpPr>
          <a:grpSpLocks noChangeAspect="1"/>
        </xdr:cNvGrpSpPr>
      </xdr:nvGrpSpPr>
      <xdr:grpSpPr>
        <a:xfrm>
          <a:off x="3495594" y="219075"/>
          <a:ext cx="4269604" cy="788859"/>
          <a:chOff x="11274942537" y="330250"/>
          <a:chExt cx="3514918" cy="630446"/>
        </a:xfrm>
      </xdr:grpSpPr>
      <xdr:pic>
        <xdr:nvPicPr>
          <xdr:cNvPr id="13" name="رسم 12">
            <a:extLst>
              <a:ext uri="{FF2B5EF4-FFF2-40B4-BE49-F238E27FC236}">
                <a16:creationId xmlns:a16="http://schemas.microsoft.com/office/drawing/2014/main" xmlns="" id="{00000000-0008-0000-0200-00000D000000}"/>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xmlns="" r:embed="rId21"/>
              </a:ext>
            </a:extLst>
          </a:blip>
          <a:srcRect t="30302" r="23325" b="23154"/>
          <a:stretch/>
        </xdr:blipFill>
        <xdr:spPr>
          <a:xfrm>
            <a:off x="11274942537" y="330250"/>
            <a:ext cx="2827356" cy="486833"/>
          </a:xfrm>
          <a:prstGeom prst="rect">
            <a:avLst/>
          </a:prstGeom>
        </xdr:spPr>
      </xdr:pic>
      <xdr:pic>
        <xdr:nvPicPr>
          <xdr:cNvPr id="17" name="رسم 16">
            <a:extLst>
              <a:ext uri="{FF2B5EF4-FFF2-40B4-BE49-F238E27FC236}">
                <a16:creationId xmlns:a16="http://schemas.microsoft.com/office/drawing/2014/main" xmlns="" id="{00000000-0008-0000-0200-000011000000}"/>
              </a:ext>
            </a:extLst>
          </xdr:cNvPr>
          <xdr:cNvPicPr>
            <a:picLocks/>
          </xdr:cNvPicPr>
        </xdr:nvPicPr>
        <xdr:blipFill rotWithShape="1">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xmlns="" r:embed="rId21"/>
              </a:ext>
            </a:extLst>
          </a:blip>
          <a:srcRect l="77503"/>
          <a:stretch/>
        </xdr:blipFill>
        <xdr:spPr>
          <a:xfrm>
            <a:off x="11277822910" y="342125"/>
            <a:ext cx="634545" cy="618571"/>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ttvtcedu-my.sharepoint.com/&#1606;&#1578;&#1575;&#1574;&#1580;%20&#1602;&#1610;&#1575;&#1587;&#1575;&#1578;%20&#1575;&#1604;&#1585;&#1590;&#1575;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1605;&#1580;&#1604;&#1583;%20&#1580;&#1583;&#1610;&#1583;%20(2)/Analysis_V10_5%20Op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USER/Desktop/&#1605;&#1580;&#1604;&#1583;%20&#1580;&#1583;&#1610;&#1583;%20(2)/Analysis_V9_3%20Opt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esktop/&#1605;&#1580;&#1604;&#1583;%20&#1580;&#1583;&#1610;&#1583;%20(2)/Department%20Analysis_V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ttvtcedu-my.sharepoint.com/&#1606;&#1578;&#1575;&#1574;&#1580;%20&#1602;&#1610;&#1575;&#1587;&#1575;&#1578;%20&#1575;&#1604;&#1585;&#1590;&#1575;-04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بيئة التدريب والسلامة المهنية"/>
      <sheetName val="مهارات التقويم"/>
      <sheetName val="المقرر التدريبي"/>
      <sheetName val="أداء المدربين"/>
      <sheetName val="الوسائل والتقينات"/>
      <sheetName val="متابعة مؤشرات رضا المتدربين"/>
      <sheetName val="DASHBOARD (متدربون)"/>
      <sheetName val="قياس رضا المتدربين"/>
      <sheetName val="المقررات التدريبية"/>
      <sheetName val="أسماء المدربين"/>
      <sheetName val="نسبة الرضا لكل مدرب"/>
      <sheetName val="DASHBOARD (مدربون)"/>
      <sheetName val="قياس رضا أعضاء هيئة التدريب "/>
      <sheetName val="قياس رضا الهيئة التدريبية-مسائي"/>
      <sheetName val="قياس رضا الهيئة الإدارية-مسائي"/>
      <sheetName val="قياس رضا الهيئة الإدارية"/>
      <sheetName val="Sheet1"/>
      <sheetName val="Sheet1 (2)"/>
      <sheetName val="Sheet1 (3)"/>
      <sheetName val="Sheet1 (4)"/>
      <sheetName val="نقاط القوة والتطوير"/>
      <sheetName val="RANK"/>
      <sheetName val="Instractorlist"/>
      <sheetName val="Questionnaire"/>
      <sheetName val="Dashboard (2)"/>
      <sheetName val="Result"/>
      <sheetName val="CourseList"/>
      <sheetName val="Calculation For Summary"/>
      <sheetName val="Statics"/>
      <sheetName val="Graph"/>
      <sheetName val="Course"/>
      <sheetName val="Ques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naire"/>
      <sheetName val="Dashboard"/>
      <sheetName val="Result"/>
      <sheetName val="Graph"/>
      <sheetName val="Course"/>
      <sheetName val="Question"/>
      <sheetName val="Summary"/>
      <sheetName val="RANK"/>
      <sheetName val="Statics"/>
      <sheetName val="Calculation For Summary"/>
      <sheetName val="Instractorlist"/>
      <sheetName val="Course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naire"/>
      <sheetName val="Dashboard"/>
      <sheetName val="Result"/>
      <sheetName val="Graph"/>
      <sheetName val="Course"/>
      <sheetName val="Question"/>
      <sheetName val="Summary"/>
      <sheetName val="RANK"/>
      <sheetName val="Statics"/>
      <sheetName val="Calculation For Summary"/>
      <sheetName val="Instractorlist"/>
      <sheetName val="Course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naire"/>
      <sheetName val="Department Wise Summary"/>
      <sheetName val="Question Wise Summary"/>
      <sheetName val="Instructor Wise Summary"/>
      <sheetName val="DASHBOARD"/>
      <sheetName val="GRAPH DATA"/>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عدد المتدربين المستمرين"/>
      <sheetName val="المسجلون"/>
      <sheetName val="بيانات المدربين"/>
      <sheetName val="بيئة التدريب والسلامة المهنية"/>
      <sheetName val="مهارات التقويم"/>
      <sheetName val="المقرر التدريبي"/>
      <sheetName val="أداء المدربين"/>
      <sheetName val="الوسائل والتقينات"/>
      <sheetName val="مؤشرات تحتاج تحسين"/>
      <sheetName val="متابعة مؤشرات رضا المتدربين (2)"/>
      <sheetName val="متابعة مؤشرات رضا المتدربين"/>
      <sheetName val="DASHBOARD (متدربون)"/>
      <sheetName val="قياس رضا المتدربين"/>
      <sheetName val="المقررات التدريبية"/>
      <sheetName val="أسماء المدربين"/>
      <sheetName val="نسبة الرضا لكل مدرب"/>
      <sheetName val="DASHBOARD (مدربون)"/>
      <sheetName val="قياس رضا أعضاء هيئة التدريب "/>
      <sheetName val="قياس رضا الهيئة الإدارية-مسائي"/>
      <sheetName val="قياس رضا الهيئة التدريبية-مسائي"/>
      <sheetName val="Sheet1"/>
      <sheetName val="Sheet1 (2)"/>
      <sheetName val="Sheet1 (3)"/>
      <sheetName val="Sheet1 (4)"/>
      <sheetName val="نقاط القوة والتطوير"/>
      <sheetName val="RANK"/>
      <sheetName val="Instractorlist"/>
      <sheetName val="Questionnaire"/>
      <sheetName val="Dashboard (2)"/>
      <sheetName val="Result"/>
      <sheetName val="CourseList"/>
      <sheetName val="Calculation For Summary"/>
      <sheetName val="Statics"/>
      <sheetName val="Graph"/>
      <sheetName val="Course"/>
      <sheetName val="Question"/>
      <sheetName val="قياس رضا الهيئة الإدارية"/>
      <sheetName val="نتائج قياسات الرضا-04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oaakel@tvtc.gov.sa" TargetMode="External"/><Relationship Id="rId7" Type="http://schemas.openxmlformats.org/officeDocument/2006/relationships/printerSettings" Target="../printerSettings/printerSettings1.bin"/><Relationship Id="rId2" Type="http://schemas.openxmlformats.org/officeDocument/2006/relationships/hyperlink" Target="mailto:salzahrani6@tvtc.gov.sa" TargetMode="External"/><Relationship Id="rId1" Type="http://schemas.openxmlformats.org/officeDocument/2006/relationships/hyperlink" Target="mailto:bbasnawi@tvtc.gov.sa" TargetMode="External"/><Relationship Id="rId6" Type="http://schemas.openxmlformats.org/officeDocument/2006/relationships/hyperlink" Target="mailto:mzahrani2@tvtc.gov.sa" TargetMode="External"/><Relationship Id="rId5" Type="http://schemas.openxmlformats.org/officeDocument/2006/relationships/hyperlink" Target="mailto:salghamdi8@tvtc.gov.sa" TargetMode="External"/><Relationship Id="rId4" Type="http://schemas.openxmlformats.org/officeDocument/2006/relationships/hyperlink" Target="mailto:hassn3000@tvtc.gov.sa"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hyperlink" Target="mailto:basim.a@tvtc.gov.sa" TargetMode="External"/><Relationship Id="rId6" Type="http://schemas.openxmlformats.org/officeDocument/2006/relationships/ctrlProp" Target="../ctrlProps/ctrlProp2.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ورقة51"/>
  <dimension ref="A1:N674"/>
  <sheetViews>
    <sheetView rightToLeft="1" zoomScale="85" zoomScaleNormal="85" workbookViewId="0">
      <pane ySplit="1" topLeftCell="A2" activePane="bottomLeft" state="frozen"/>
      <selection pane="bottomLeft" activeCell="R6" sqref="R6"/>
    </sheetView>
  </sheetViews>
  <sheetFormatPr defaultColWidth="9" defaultRowHeight="23.45" customHeight="1"/>
  <cols>
    <col min="1" max="1" width="9" style="59"/>
    <col min="2" max="2" width="18" style="59" customWidth="1"/>
    <col min="3" max="3" width="31.5703125" style="67" bestFit="1" customWidth="1"/>
    <col min="4" max="4" width="17.42578125" style="59" customWidth="1"/>
    <col min="5" max="5" width="22.42578125" style="59" hidden="1" customWidth="1"/>
    <col min="6" max="6" width="15.42578125" style="59" hidden="1" customWidth="1"/>
    <col min="7" max="7" width="35.28515625" style="59" hidden="1" customWidth="1"/>
    <col min="8" max="8" width="29.140625" style="59" hidden="1" customWidth="1"/>
    <col min="9" max="9" width="16.42578125" style="59" hidden="1" customWidth="1"/>
    <col min="10" max="10" width="29.28515625" style="59" hidden="1" customWidth="1"/>
    <col min="11" max="11" width="24.5703125" style="59" hidden="1" customWidth="1"/>
    <col min="12" max="12" width="11.5703125" style="59" hidden="1" customWidth="1"/>
    <col min="13" max="13" width="11.85546875" style="59" bestFit="1" customWidth="1"/>
    <col min="14" max="14" width="13.140625" style="59" bestFit="1" customWidth="1"/>
    <col min="15" max="16384" width="9" style="59"/>
  </cols>
  <sheetData>
    <row r="1" spans="1:14" ht="23.45" customHeight="1">
      <c r="A1" s="60" t="s">
        <v>0</v>
      </c>
      <c r="B1" s="60" t="s">
        <v>1</v>
      </c>
      <c r="C1" s="60" t="s">
        <v>2</v>
      </c>
      <c r="D1" s="60" t="s">
        <v>3</v>
      </c>
      <c r="E1" s="60" t="s">
        <v>4</v>
      </c>
      <c r="F1" s="60" t="s">
        <v>5</v>
      </c>
      <c r="G1" s="60" t="s">
        <v>6</v>
      </c>
      <c r="H1" s="60" t="s">
        <v>7</v>
      </c>
      <c r="I1" s="60" t="s">
        <v>8</v>
      </c>
      <c r="J1" s="60" t="s">
        <v>9</v>
      </c>
      <c r="K1" s="60" t="s">
        <v>10</v>
      </c>
      <c r="L1" s="60" t="s">
        <v>11</v>
      </c>
      <c r="M1" s="60" t="s">
        <v>12</v>
      </c>
      <c r="N1" s="60" t="s">
        <v>13</v>
      </c>
    </row>
    <row r="2" spans="1:14" ht="23.45" customHeight="1">
      <c r="A2" s="61">
        <v>1</v>
      </c>
      <c r="B2" s="61">
        <v>8975</v>
      </c>
      <c r="C2" s="62" t="s">
        <v>14</v>
      </c>
      <c r="D2" s="61" t="s">
        <v>15</v>
      </c>
      <c r="E2" s="61" t="s">
        <v>16</v>
      </c>
      <c r="F2" s="61" t="s">
        <v>17</v>
      </c>
      <c r="G2" s="61" t="s">
        <v>18</v>
      </c>
      <c r="H2" s="61" t="s">
        <v>17</v>
      </c>
      <c r="I2" s="61" t="s">
        <v>19</v>
      </c>
      <c r="J2" s="61" t="s">
        <v>20</v>
      </c>
      <c r="K2" s="61" t="s">
        <v>21</v>
      </c>
      <c r="L2" s="61">
        <v>505502953</v>
      </c>
      <c r="M2" s="61">
        <v>13</v>
      </c>
      <c r="N2" s="61"/>
    </row>
    <row r="3" spans="1:14" ht="23.45" customHeight="1">
      <c r="A3" s="63">
        <v>2</v>
      </c>
      <c r="B3" s="63">
        <v>8591</v>
      </c>
      <c r="C3" s="64" t="s">
        <v>22</v>
      </c>
      <c r="D3" s="63" t="s">
        <v>15</v>
      </c>
      <c r="E3" s="63" t="s">
        <v>23</v>
      </c>
      <c r="F3" s="63" t="s">
        <v>24</v>
      </c>
      <c r="G3" s="63" t="s">
        <v>25</v>
      </c>
      <c r="H3" s="63" t="s">
        <v>24</v>
      </c>
      <c r="I3" s="63" t="s">
        <v>19</v>
      </c>
      <c r="J3" s="63" t="s">
        <v>20</v>
      </c>
      <c r="K3" s="63" t="s">
        <v>26</v>
      </c>
      <c r="L3" s="63">
        <v>505668792</v>
      </c>
      <c r="M3" s="63">
        <v>13</v>
      </c>
      <c r="N3" s="63"/>
    </row>
    <row r="4" spans="1:14" ht="23.45" customHeight="1">
      <c r="A4" s="61">
        <v>3</v>
      </c>
      <c r="B4" s="61">
        <v>16528</v>
      </c>
      <c r="C4" s="62" t="s">
        <v>27</v>
      </c>
      <c r="D4" s="61" t="s">
        <v>15</v>
      </c>
      <c r="E4" s="61" t="s">
        <v>28</v>
      </c>
      <c r="F4" s="61" t="s">
        <v>29</v>
      </c>
      <c r="G4" s="61" t="s">
        <v>30</v>
      </c>
      <c r="H4" s="61" t="s">
        <v>29</v>
      </c>
      <c r="I4" s="61" t="s">
        <v>19</v>
      </c>
      <c r="J4" s="61" t="s">
        <v>20</v>
      </c>
      <c r="K4" s="61" t="s">
        <v>31</v>
      </c>
      <c r="L4" s="61">
        <v>550854213</v>
      </c>
      <c r="M4" s="61">
        <v>13</v>
      </c>
      <c r="N4" s="61"/>
    </row>
    <row r="5" spans="1:14" ht="23.45" customHeight="1">
      <c r="A5" s="63">
        <v>4</v>
      </c>
      <c r="B5" s="63">
        <v>6164</v>
      </c>
      <c r="C5" s="64" t="s">
        <v>32</v>
      </c>
      <c r="D5" s="63" t="s">
        <v>15</v>
      </c>
      <c r="E5" s="63" t="s">
        <v>23</v>
      </c>
      <c r="F5" s="63" t="s">
        <v>33</v>
      </c>
      <c r="G5" s="63" t="s">
        <v>34</v>
      </c>
      <c r="H5" s="63" t="s">
        <v>33</v>
      </c>
      <c r="I5" s="63" t="s">
        <v>19</v>
      </c>
      <c r="J5" s="63" t="s">
        <v>20</v>
      </c>
      <c r="K5" s="63" t="s">
        <v>35</v>
      </c>
      <c r="L5" s="63">
        <v>505644025</v>
      </c>
      <c r="M5" s="63">
        <v>13</v>
      </c>
      <c r="N5" s="63"/>
    </row>
    <row r="6" spans="1:14" ht="23.45" customHeight="1">
      <c r="A6" s="61">
        <v>5</v>
      </c>
      <c r="B6" s="61">
        <v>8539</v>
      </c>
      <c r="C6" s="62" t="s">
        <v>36</v>
      </c>
      <c r="D6" s="61" t="s">
        <v>15</v>
      </c>
      <c r="E6" s="61" t="s">
        <v>16</v>
      </c>
      <c r="F6" s="61" t="s">
        <v>37</v>
      </c>
      <c r="G6" s="61" t="s">
        <v>37</v>
      </c>
      <c r="H6" s="61" t="s">
        <v>37</v>
      </c>
      <c r="I6" s="61" t="s">
        <v>19</v>
      </c>
      <c r="J6" s="61" t="s">
        <v>20</v>
      </c>
      <c r="K6" s="61" t="s">
        <v>38</v>
      </c>
      <c r="L6" s="61">
        <v>505671805</v>
      </c>
      <c r="M6" s="61">
        <v>13</v>
      </c>
      <c r="N6" s="61"/>
    </row>
    <row r="7" spans="1:14" ht="23.45" customHeight="1">
      <c r="A7" s="63">
        <v>6</v>
      </c>
      <c r="B7" s="63">
        <v>16410</v>
      </c>
      <c r="C7" s="64" t="s">
        <v>39</v>
      </c>
      <c r="D7" s="63" t="s">
        <v>15</v>
      </c>
      <c r="E7" s="63" t="s">
        <v>28</v>
      </c>
      <c r="F7" s="63" t="s">
        <v>29</v>
      </c>
      <c r="G7" s="63" t="s">
        <v>29</v>
      </c>
      <c r="H7" s="63" t="s">
        <v>29</v>
      </c>
      <c r="I7" s="63" t="s">
        <v>19</v>
      </c>
      <c r="J7" s="63" t="s">
        <v>20</v>
      </c>
      <c r="K7" s="63" t="s">
        <v>40</v>
      </c>
      <c r="L7" s="63">
        <v>554848007</v>
      </c>
      <c r="M7" s="63">
        <v>13</v>
      </c>
      <c r="N7" s="63"/>
    </row>
    <row r="8" spans="1:14" ht="23.45" customHeight="1">
      <c r="A8" s="61">
        <v>7</v>
      </c>
      <c r="B8" s="61">
        <v>12125</v>
      </c>
      <c r="C8" s="62" t="s">
        <v>41</v>
      </c>
      <c r="D8" s="61" t="s">
        <v>15</v>
      </c>
      <c r="E8" s="61" t="s">
        <v>28</v>
      </c>
      <c r="F8" s="61" t="s">
        <v>37</v>
      </c>
      <c r="G8" s="61" t="s">
        <v>30</v>
      </c>
      <c r="H8" s="61" t="s">
        <v>37</v>
      </c>
      <c r="I8" s="61" t="s">
        <v>19</v>
      </c>
      <c r="J8" s="61" t="s">
        <v>20</v>
      </c>
      <c r="K8" s="61" t="s">
        <v>42</v>
      </c>
      <c r="L8" s="61">
        <v>568180380</v>
      </c>
      <c r="M8" s="61">
        <v>13</v>
      </c>
      <c r="N8" s="61"/>
    </row>
    <row r="9" spans="1:14" ht="23.45" customHeight="1">
      <c r="A9" s="63">
        <v>8</v>
      </c>
      <c r="B9" s="63">
        <v>16106</v>
      </c>
      <c r="C9" s="64" t="s">
        <v>43</v>
      </c>
      <c r="D9" s="63" t="s">
        <v>15</v>
      </c>
      <c r="E9" s="63" t="s">
        <v>28</v>
      </c>
      <c r="F9" s="63" t="s">
        <v>44</v>
      </c>
      <c r="G9" s="63" t="s">
        <v>44</v>
      </c>
      <c r="H9" s="63" t="s">
        <v>37</v>
      </c>
      <c r="I9" s="63" t="s">
        <v>19</v>
      </c>
      <c r="J9" s="63" t="s">
        <v>20</v>
      </c>
      <c r="K9" s="63" t="s">
        <v>45</v>
      </c>
      <c r="L9" s="63">
        <v>558844085</v>
      </c>
      <c r="M9" s="63">
        <v>13</v>
      </c>
      <c r="N9" s="63"/>
    </row>
    <row r="10" spans="1:14" ht="23.45" customHeight="1">
      <c r="A10" s="61">
        <v>9</v>
      </c>
      <c r="B10" s="61">
        <v>6905</v>
      </c>
      <c r="C10" s="62" t="s">
        <v>46</v>
      </c>
      <c r="D10" s="61" t="s">
        <v>15</v>
      </c>
      <c r="E10" s="61" t="s">
        <v>16</v>
      </c>
      <c r="F10" s="61" t="s">
        <v>37</v>
      </c>
      <c r="G10" s="61" t="s">
        <v>47</v>
      </c>
      <c r="H10" s="61" t="s">
        <v>37</v>
      </c>
      <c r="I10" s="61" t="s">
        <v>19</v>
      </c>
      <c r="J10" s="61" t="s">
        <v>20</v>
      </c>
      <c r="K10" s="61" t="s">
        <v>48</v>
      </c>
      <c r="L10" s="61">
        <v>500129990</v>
      </c>
      <c r="M10" s="61">
        <v>13</v>
      </c>
      <c r="N10" s="61"/>
    </row>
    <row r="11" spans="1:14" ht="23.45" customHeight="1">
      <c r="A11" s="63">
        <v>10</v>
      </c>
      <c r="B11" s="63">
        <v>19782</v>
      </c>
      <c r="C11" s="64" t="s">
        <v>49</v>
      </c>
      <c r="D11" s="63" t="s">
        <v>15</v>
      </c>
      <c r="E11" s="63" t="s">
        <v>28</v>
      </c>
      <c r="F11" s="63" t="s">
        <v>50</v>
      </c>
      <c r="G11" s="63" t="s">
        <v>51</v>
      </c>
      <c r="H11" s="63" t="s">
        <v>50</v>
      </c>
      <c r="I11" s="63" t="s">
        <v>19</v>
      </c>
      <c r="J11" s="63" t="s">
        <v>20</v>
      </c>
      <c r="K11" s="63" t="s">
        <v>52</v>
      </c>
      <c r="L11" s="63">
        <v>502000209</v>
      </c>
      <c r="M11" s="63">
        <v>13</v>
      </c>
      <c r="N11" s="63"/>
    </row>
    <row r="12" spans="1:14" ht="23.45" customHeight="1">
      <c r="A12" s="61">
        <v>11</v>
      </c>
      <c r="B12" s="61">
        <v>1898</v>
      </c>
      <c r="C12" s="62" t="s">
        <v>53</v>
      </c>
      <c r="D12" s="61" t="s">
        <v>15</v>
      </c>
      <c r="E12" s="61" t="s">
        <v>23</v>
      </c>
      <c r="F12" s="61" t="s">
        <v>54</v>
      </c>
      <c r="G12" s="61" t="s">
        <v>30</v>
      </c>
      <c r="H12" s="61" t="s">
        <v>54</v>
      </c>
      <c r="I12" s="61" t="s">
        <v>55</v>
      </c>
      <c r="J12" s="61" t="s">
        <v>20</v>
      </c>
      <c r="K12" s="61" t="s">
        <v>56</v>
      </c>
      <c r="L12" s="61">
        <v>505697499</v>
      </c>
      <c r="M12" s="61">
        <v>13</v>
      </c>
      <c r="N12" s="61"/>
    </row>
    <row r="13" spans="1:14" ht="23.45" customHeight="1">
      <c r="A13" s="63">
        <v>12</v>
      </c>
      <c r="B13" s="63">
        <v>6163</v>
      </c>
      <c r="C13" s="64" t="s">
        <v>57</v>
      </c>
      <c r="D13" s="63" t="s">
        <v>15</v>
      </c>
      <c r="E13" s="63" t="s">
        <v>23</v>
      </c>
      <c r="F13" s="63" t="s">
        <v>58</v>
      </c>
      <c r="G13" s="63" t="s">
        <v>30</v>
      </c>
      <c r="H13" s="63" t="s">
        <v>58</v>
      </c>
      <c r="I13" s="63" t="s">
        <v>19</v>
      </c>
      <c r="J13" s="63" t="s">
        <v>20</v>
      </c>
      <c r="K13" s="63" t="s">
        <v>59</v>
      </c>
      <c r="L13" s="63">
        <v>505718144</v>
      </c>
      <c r="M13" s="63">
        <v>13</v>
      </c>
      <c r="N13" s="63"/>
    </row>
    <row r="14" spans="1:14" ht="23.45" customHeight="1">
      <c r="A14" s="61">
        <v>13</v>
      </c>
      <c r="B14" s="61">
        <v>11072</v>
      </c>
      <c r="C14" s="62" t="s">
        <v>60</v>
      </c>
      <c r="D14" s="61" t="s">
        <v>15</v>
      </c>
      <c r="E14" s="61" t="s">
        <v>16</v>
      </c>
      <c r="F14" s="61" t="s">
        <v>61</v>
      </c>
      <c r="G14" s="61" t="s">
        <v>62</v>
      </c>
      <c r="H14" s="61" t="s">
        <v>61</v>
      </c>
      <c r="I14" s="61" t="s">
        <v>19</v>
      </c>
      <c r="J14" s="61" t="s">
        <v>20</v>
      </c>
      <c r="K14" s="61" t="s">
        <v>63</v>
      </c>
      <c r="L14" s="61">
        <v>554589700</v>
      </c>
      <c r="M14" s="61">
        <v>13</v>
      </c>
      <c r="N14" s="61"/>
    </row>
    <row r="15" spans="1:14" ht="23.45" customHeight="1">
      <c r="A15" s="63">
        <v>14</v>
      </c>
      <c r="B15" s="63">
        <v>2663</v>
      </c>
      <c r="C15" s="64" t="s">
        <v>64</v>
      </c>
      <c r="D15" s="63" t="s">
        <v>15</v>
      </c>
      <c r="E15" s="63" t="s">
        <v>23</v>
      </c>
      <c r="F15" s="63" t="s">
        <v>54</v>
      </c>
      <c r="G15" s="63" t="s">
        <v>30</v>
      </c>
      <c r="H15" s="63" t="s">
        <v>54</v>
      </c>
      <c r="I15" s="63" t="s">
        <v>19</v>
      </c>
      <c r="J15" s="63" t="s">
        <v>20</v>
      </c>
      <c r="K15" s="63" t="s">
        <v>65</v>
      </c>
      <c r="L15" s="63">
        <v>555660379</v>
      </c>
      <c r="M15" s="63">
        <v>13</v>
      </c>
      <c r="N15" s="63"/>
    </row>
    <row r="16" spans="1:14" ht="23.45" customHeight="1">
      <c r="A16" s="61">
        <v>15</v>
      </c>
      <c r="B16" s="61">
        <v>8379</v>
      </c>
      <c r="C16" s="62" t="s">
        <v>66</v>
      </c>
      <c r="D16" s="61" t="s">
        <v>15</v>
      </c>
      <c r="E16" s="61" t="s">
        <v>28</v>
      </c>
      <c r="F16" s="61" t="s">
        <v>61</v>
      </c>
      <c r="G16" s="61" t="s">
        <v>67</v>
      </c>
      <c r="H16" s="61" t="s">
        <v>61</v>
      </c>
      <c r="I16" s="61" t="s">
        <v>55</v>
      </c>
      <c r="J16" s="61" t="s">
        <v>20</v>
      </c>
      <c r="K16" s="61" t="s">
        <v>68</v>
      </c>
      <c r="L16" s="61">
        <v>503075551</v>
      </c>
      <c r="M16" s="61">
        <v>13</v>
      </c>
      <c r="N16" s="61"/>
    </row>
    <row r="17" spans="1:14" ht="23.45" customHeight="1">
      <c r="A17" s="63">
        <v>16</v>
      </c>
      <c r="B17" s="63" t="s">
        <v>69</v>
      </c>
      <c r="C17" s="64" t="s">
        <v>70</v>
      </c>
      <c r="D17" s="63" t="s">
        <v>15</v>
      </c>
      <c r="E17" s="63" t="s">
        <v>16</v>
      </c>
      <c r="F17" s="63" t="s">
        <v>71</v>
      </c>
      <c r="G17" s="63" t="s">
        <v>30</v>
      </c>
      <c r="H17" s="63" t="s">
        <v>72</v>
      </c>
      <c r="I17" s="63" t="s">
        <v>73</v>
      </c>
      <c r="J17" s="63" t="s">
        <v>20</v>
      </c>
      <c r="K17" s="63" t="s">
        <v>74</v>
      </c>
      <c r="L17" s="63">
        <v>555795955</v>
      </c>
      <c r="M17" s="63">
        <v>13</v>
      </c>
      <c r="N17" s="63"/>
    </row>
    <row r="18" spans="1:14" ht="23.45" customHeight="1">
      <c r="A18" s="61">
        <v>17</v>
      </c>
      <c r="B18" s="61">
        <v>6114</v>
      </c>
      <c r="C18" s="62" t="s">
        <v>75</v>
      </c>
      <c r="D18" s="61" t="s">
        <v>15</v>
      </c>
      <c r="E18" s="61" t="s">
        <v>23</v>
      </c>
      <c r="F18" s="61" t="s">
        <v>58</v>
      </c>
      <c r="G18" s="61" t="s">
        <v>30</v>
      </c>
      <c r="H18" s="61" t="s">
        <v>58</v>
      </c>
      <c r="I18" s="61" t="s">
        <v>19</v>
      </c>
      <c r="J18" s="61" t="s">
        <v>20</v>
      </c>
      <c r="K18" s="61" t="s">
        <v>76</v>
      </c>
      <c r="L18" s="61">
        <v>555696606</v>
      </c>
      <c r="M18" s="61">
        <v>13</v>
      </c>
      <c r="N18" s="61"/>
    </row>
    <row r="19" spans="1:14" ht="23.45" customHeight="1">
      <c r="A19" s="63">
        <v>18</v>
      </c>
      <c r="B19" s="63">
        <v>6859</v>
      </c>
      <c r="C19" s="64" t="s">
        <v>77</v>
      </c>
      <c r="D19" s="63" t="s">
        <v>15</v>
      </c>
      <c r="E19" s="63" t="s">
        <v>16</v>
      </c>
      <c r="F19" s="63" t="s">
        <v>78</v>
      </c>
      <c r="G19" s="63" t="s">
        <v>79</v>
      </c>
      <c r="H19" s="63" t="s">
        <v>78</v>
      </c>
      <c r="I19" s="63" t="s">
        <v>73</v>
      </c>
      <c r="J19" s="63" t="s">
        <v>20</v>
      </c>
      <c r="K19" s="63" t="s">
        <v>80</v>
      </c>
      <c r="L19" s="63">
        <v>591332882</v>
      </c>
      <c r="M19" s="63">
        <v>13</v>
      </c>
      <c r="N19" s="63"/>
    </row>
    <row r="20" spans="1:14" ht="23.45" customHeight="1">
      <c r="A20" s="61">
        <v>19</v>
      </c>
      <c r="B20" s="61">
        <v>13555</v>
      </c>
      <c r="C20" s="62" t="s">
        <v>81</v>
      </c>
      <c r="D20" s="61" t="s">
        <v>15</v>
      </c>
      <c r="E20" s="61" t="s">
        <v>23</v>
      </c>
      <c r="F20" s="61" t="s">
        <v>82</v>
      </c>
      <c r="G20" s="61">
        <v>454</v>
      </c>
      <c r="H20" s="61" t="s">
        <v>82</v>
      </c>
      <c r="I20" s="61" t="s">
        <v>19</v>
      </c>
      <c r="J20" s="61" t="s">
        <v>20</v>
      </c>
      <c r="K20" s="61" t="s">
        <v>83</v>
      </c>
      <c r="L20" s="61">
        <v>557712250</v>
      </c>
      <c r="M20" s="61">
        <v>13</v>
      </c>
      <c r="N20" s="61"/>
    </row>
    <row r="21" spans="1:14" ht="23.45" customHeight="1">
      <c r="A21" s="63">
        <v>20</v>
      </c>
      <c r="B21" s="63">
        <v>9092</v>
      </c>
      <c r="C21" s="64" t="s">
        <v>84</v>
      </c>
      <c r="D21" s="63" t="s">
        <v>15</v>
      </c>
      <c r="E21" s="63" t="s">
        <v>16</v>
      </c>
      <c r="F21" s="63" t="s">
        <v>85</v>
      </c>
      <c r="G21" s="63" t="s">
        <v>86</v>
      </c>
      <c r="H21" s="63" t="s">
        <v>87</v>
      </c>
      <c r="I21" s="63" t="s">
        <v>19</v>
      </c>
      <c r="J21" s="63" t="s">
        <v>20</v>
      </c>
      <c r="K21" s="63" t="s">
        <v>88</v>
      </c>
      <c r="L21" s="63">
        <v>505725535</v>
      </c>
      <c r="M21" s="63">
        <v>13</v>
      </c>
      <c r="N21" s="63"/>
    </row>
    <row r="22" spans="1:14" ht="23.45" customHeight="1">
      <c r="A22" s="61">
        <v>21</v>
      </c>
      <c r="B22" s="61">
        <v>17488</v>
      </c>
      <c r="C22" s="62" t="s">
        <v>89</v>
      </c>
      <c r="D22" s="61" t="s">
        <v>15</v>
      </c>
      <c r="E22" s="61" t="s">
        <v>28</v>
      </c>
      <c r="F22" s="61" t="s">
        <v>29</v>
      </c>
      <c r="G22" s="61" t="s">
        <v>30</v>
      </c>
      <c r="H22" s="61" t="s">
        <v>29</v>
      </c>
      <c r="I22" s="61" t="s">
        <v>19</v>
      </c>
      <c r="J22" s="61" t="s">
        <v>20</v>
      </c>
      <c r="K22" s="61" t="s">
        <v>90</v>
      </c>
      <c r="L22" s="61">
        <v>504382369</v>
      </c>
      <c r="M22" s="61">
        <v>13</v>
      </c>
      <c r="N22" s="61"/>
    </row>
    <row r="23" spans="1:14" ht="23.45" customHeight="1">
      <c r="A23" s="63">
        <v>22</v>
      </c>
      <c r="B23" s="63">
        <v>5863</v>
      </c>
      <c r="C23" s="64" t="s">
        <v>91</v>
      </c>
      <c r="D23" s="63" t="s">
        <v>15</v>
      </c>
      <c r="E23" s="63" t="s">
        <v>23</v>
      </c>
      <c r="F23" s="63" t="s">
        <v>92</v>
      </c>
      <c r="G23" s="63" t="s">
        <v>30</v>
      </c>
      <c r="H23" s="63" t="s">
        <v>92</v>
      </c>
      <c r="I23" s="63" t="s">
        <v>19</v>
      </c>
      <c r="J23" s="63" t="s">
        <v>20</v>
      </c>
      <c r="K23" s="63" t="s">
        <v>93</v>
      </c>
      <c r="L23" s="63">
        <v>568090315</v>
      </c>
      <c r="M23" s="63">
        <v>13</v>
      </c>
      <c r="N23" s="63"/>
    </row>
    <row r="24" spans="1:14" ht="23.45" customHeight="1">
      <c r="A24" s="61">
        <v>23</v>
      </c>
      <c r="B24" s="61">
        <v>6625</v>
      </c>
      <c r="C24" s="62" t="s">
        <v>94</v>
      </c>
      <c r="D24" s="61" t="s">
        <v>15</v>
      </c>
      <c r="E24" s="61" t="s">
        <v>16</v>
      </c>
      <c r="F24" s="61" t="s">
        <v>62</v>
      </c>
      <c r="G24" s="61" t="s">
        <v>62</v>
      </c>
      <c r="H24" s="61" t="s">
        <v>61</v>
      </c>
      <c r="I24" s="61" t="s">
        <v>73</v>
      </c>
      <c r="J24" s="61" t="s">
        <v>20</v>
      </c>
      <c r="K24" s="61" t="s">
        <v>95</v>
      </c>
      <c r="L24" s="61">
        <v>555534419</v>
      </c>
      <c r="M24" s="61">
        <v>13</v>
      </c>
      <c r="N24" s="61"/>
    </row>
    <row r="25" spans="1:14" ht="23.45" customHeight="1">
      <c r="A25" s="63">
        <v>24</v>
      </c>
      <c r="B25" s="63">
        <v>6794</v>
      </c>
      <c r="C25" s="64" t="s">
        <v>96</v>
      </c>
      <c r="D25" s="63" t="s">
        <v>15</v>
      </c>
      <c r="E25" s="63" t="s">
        <v>28</v>
      </c>
      <c r="F25" s="63" t="s">
        <v>37</v>
      </c>
      <c r="G25" s="63" t="s">
        <v>30</v>
      </c>
      <c r="H25" s="63" t="s">
        <v>37</v>
      </c>
      <c r="I25" s="63" t="s">
        <v>55</v>
      </c>
      <c r="J25" s="63" t="s">
        <v>20</v>
      </c>
      <c r="K25" s="63" t="s">
        <v>97</v>
      </c>
      <c r="L25" s="63">
        <v>554435578</v>
      </c>
      <c r="M25" s="63">
        <v>13</v>
      </c>
      <c r="N25" s="63"/>
    </row>
    <row r="26" spans="1:14" ht="23.45" customHeight="1">
      <c r="A26" s="61">
        <v>25</v>
      </c>
      <c r="B26" s="61">
        <v>10917</v>
      </c>
      <c r="C26" s="62" t="s">
        <v>98</v>
      </c>
      <c r="D26" s="61" t="s">
        <v>15</v>
      </c>
      <c r="E26" s="61" t="s">
        <v>28</v>
      </c>
      <c r="F26" s="61" t="s">
        <v>99</v>
      </c>
      <c r="G26" s="61" t="s">
        <v>30</v>
      </c>
      <c r="H26" s="61" t="s">
        <v>99</v>
      </c>
      <c r="I26" s="61" t="s">
        <v>19</v>
      </c>
      <c r="J26" s="61" t="s">
        <v>20</v>
      </c>
      <c r="K26" s="61" t="s">
        <v>100</v>
      </c>
      <c r="L26" s="61">
        <v>566632042</v>
      </c>
      <c r="M26" s="61">
        <v>13</v>
      </c>
      <c r="N26" s="61"/>
    </row>
    <row r="27" spans="1:14" ht="23.45" customHeight="1">
      <c r="A27" s="63">
        <v>26</v>
      </c>
      <c r="B27" s="63">
        <v>15143</v>
      </c>
      <c r="C27" s="64" t="s">
        <v>101</v>
      </c>
      <c r="D27" s="63" t="s">
        <v>15</v>
      </c>
      <c r="E27" s="63" t="s">
        <v>28</v>
      </c>
      <c r="F27" s="63" t="s">
        <v>29</v>
      </c>
      <c r="G27" s="63" t="s">
        <v>29</v>
      </c>
      <c r="H27" s="63" t="s">
        <v>29</v>
      </c>
      <c r="I27" s="63" t="s">
        <v>19</v>
      </c>
      <c r="J27" s="63" t="s">
        <v>20</v>
      </c>
      <c r="K27" s="63" t="s">
        <v>102</v>
      </c>
      <c r="L27" s="63">
        <v>562970970</v>
      </c>
      <c r="M27" s="63">
        <v>13</v>
      </c>
      <c r="N27" s="63"/>
    </row>
    <row r="28" spans="1:14" ht="23.45" customHeight="1">
      <c r="A28" s="61">
        <v>27</v>
      </c>
      <c r="B28" s="61">
        <v>11038</v>
      </c>
      <c r="C28" s="62" t="s">
        <v>103</v>
      </c>
      <c r="D28" s="61" t="s">
        <v>15</v>
      </c>
      <c r="E28" s="61" t="s">
        <v>16</v>
      </c>
      <c r="F28" s="61" t="s">
        <v>37</v>
      </c>
      <c r="G28" s="61" t="s">
        <v>30</v>
      </c>
      <c r="H28" s="61" t="s">
        <v>37</v>
      </c>
      <c r="I28" s="61" t="s">
        <v>73</v>
      </c>
      <c r="J28" s="61" t="s">
        <v>20</v>
      </c>
      <c r="K28" s="61" t="s">
        <v>104</v>
      </c>
      <c r="L28" s="61">
        <v>509395598</v>
      </c>
      <c r="M28" s="61">
        <v>13</v>
      </c>
      <c r="N28" s="61"/>
    </row>
    <row r="29" spans="1:14" ht="23.45" customHeight="1">
      <c r="A29" s="63">
        <v>28</v>
      </c>
      <c r="B29" s="63">
        <v>10516</v>
      </c>
      <c r="C29" s="64" t="s">
        <v>105</v>
      </c>
      <c r="D29" s="63" t="s">
        <v>15</v>
      </c>
      <c r="E29" s="63" t="s">
        <v>16</v>
      </c>
      <c r="F29" s="63" t="s">
        <v>85</v>
      </c>
      <c r="G29" s="63" t="s">
        <v>85</v>
      </c>
      <c r="H29" s="63" t="s">
        <v>87</v>
      </c>
      <c r="I29" s="63" t="s">
        <v>73</v>
      </c>
      <c r="J29" s="63" t="s">
        <v>20</v>
      </c>
      <c r="K29" s="63" t="s">
        <v>106</v>
      </c>
      <c r="L29" s="63">
        <v>555726497</v>
      </c>
      <c r="M29" s="63">
        <v>13</v>
      </c>
      <c r="N29" s="63"/>
    </row>
    <row r="30" spans="1:14" ht="23.45" customHeight="1">
      <c r="A30" s="61">
        <v>29</v>
      </c>
      <c r="B30" s="61">
        <v>15400</v>
      </c>
      <c r="C30" s="62" t="s">
        <v>107</v>
      </c>
      <c r="D30" s="61" t="s">
        <v>15</v>
      </c>
      <c r="E30" s="61" t="s">
        <v>28</v>
      </c>
      <c r="F30" s="61" t="s">
        <v>108</v>
      </c>
      <c r="G30" s="61" t="s">
        <v>37</v>
      </c>
      <c r="H30" s="61" t="s">
        <v>108</v>
      </c>
      <c r="I30" s="61" t="s">
        <v>19</v>
      </c>
      <c r="J30" s="61" t="s">
        <v>20</v>
      </c>
      <c r="K30" s="61" t="s">
        <v>109</v>
      </c>
      <c r="L30" s="61">
        <v>551211322</v>
      </c>
      <c r="M30" s="61">
        <v>13</v>
      </c>
      <c r="N30" s="61"/>
    </row>
    <row r="31" spans="1:14" ht="23.45" customHeight="1">
      <c r="A31" s="63">
        <v>30</v>
      </c>
      <c r="B31" s="63">
        <v>16411</v>
      </c>
      <c r="C31" s="64" t="s">
        <v>110</v>
      </c>
      <c r="D31" s="63" t="s">
        <v>15</v>
      </c>
      <c r="E31" s="63" t="s">
        <v>16</v>
      </c>
      <c r="F31" s="63" t="s">
        <v>61</v>
      </c>
      <c r="G31" s="63" t="s">
        <v>30</v>
      </c>
      <c r="H31" s="63" t="s">
        <v>61</v>
      </c>
      <c r="I31" s="63" t="s">
        <v>73</v>
      </c>
      <c r="J31" s="63" t="s">
        <v>20</v>
      </c>
      <c r="K31" s="63" t="s">
        <v>111</v>
      </c>
      <c r="L31" s="63">
        <v>536568844</v>
      </c>
      <c r="M31" s="63">
        <v>13</v>
      </c>
      <c r="N31" s="63"/>
    </row>
    <row r="32" spans="1:14" ht="23.45" customHeight="1">
      <c r="A32" s="61">
        <v>31</v>
      </c>
      <c r="B32" s="61">
        <v>1499</v>
      </c>
      <c r="C32" s="62" t="s">
        <v>112</v>
      </c>
      <c r="D32" s="61" t="s">
        <v>15</v>
      </c>
      <c r="E32" s="61" t="s">
        <v>23</v>
      </c>
      <c r="F32" s="61" t="s">
        <v>37</v>
      </c>
      <c r="G32" s="61" t="s">
        <v>30</v>
      </c>
      <c r="H32" s="61" t="s">
        <v>54</v>
      </c>
      <c r="I32" s="61" t="s">
        <v>19</v>
      </c>
      <c r="J32" s="61" t="s">
        <v>20</v>
      </c>
      <c r="K32" s="61" t="s">
        <v>113</v>
      </c>
      <c r="L32" s="61">
        <v>505507347</v>
      </c>
      <c r="M32" s="61">
        <v>13</v>
      </c>
      <c r="N32" s="61"/>
    </row>
    <row r="33" spans="1:14" ht="23.45" customHeight="1">
      <c r="A33" s="63">
        <v>32</v>
      </c>
      <c r="B33" s="63">
        <v>6191</v>
      </c>
      <c r="C33" s="64" t="s">
        <v>114</v>
      </c>
      <c r="D33" s="63" t="s">
        <v>15</v>
      </c>
      <c r="E33" s="63" t="s">
        <v>16</v>
      </c>
      <c r="F33" s="63" t="s">
        <v>37</v>
      </c>
      <c r="G33" s="63" t="s">
        <v>30</v>
      </c>
      <c r="H33" s="63" t="s">
        <v>37</v>
      </c>
      <c r="I33" s="63" t="s">
        <v>19</v>
      </c>
      <c r="J33" s="63" t="s">
        <v>20</v>
      </c>
      <c r="K33" s="63" t="s">
        <v>115</v>
      </c>
      <c r="L33" s="63">
        <v>550560404</v>
      </c>
      <c r="M33" s="63">
        <v>13</v>
      </c>
      <c r="N33" s="63"/>
    </row>
    <row r="34" spans="1:14" ht="23.45" customHeight="1">
      <c r="A34" s="61">
        <v>33</v>
      </c>
      <c r="B34" s="61">
        <v>4857</v>
      </c>
      <c r="C34" s="62" t="s">
        <v>116</v>
      </c>
      <c r="D34" s="61" t="s">
        <v>15</v>
      </c>
      <c r="E34" s="61" t="s">
        <v>28</v>
      </c>
      <c r="F34" s="61" t="s">
        <v>61</v>
      </c>
      <c r="G34" s="61" t="s">
        <v>30</v>
      </c>
      <c r="H34" s="61" t="s">
        <v>61</v>
      </c>
      <c r="I34" s="61" t="s">
        <v>19</v>
      </c>
      <c r="J34" s="61" t="s">
        <v>20</v>
      </c>
      <c r="K34" s="61" t="s">
        <v>117</v>
      </c>
      <c r="L34" s="61">
        <v>504322600</v>
      </c>
      <c r="M34" s="61">
        <v>13</v>
      </c>
      <c r="N34" s="61"/>
    </row>
    <row r="35" spans="1:14" ht="23.45" customHeight="1">
      <c r="A35" s="63">
        <v>34</v>
      </c>
      <c r="B35" s="63">
        <v>6800</v>
      </c>
      <c r="C35" s="64" t="s">
        <v>118</v>
      </c>
      <c r="D35" s="63" t="s">
        <v>15</v>
      </c>
      <c r="E35" s="63" t="s">
        <v>16</v>
      </c>
      <c r="F35" s="63" t="s">
        <v>119</v>
      </c>
      <c r="G35" s="63" t="s">
        <v>120</v>
      </c>
      <c r="H35" s="63" t="s">
        <v>119</v>
      </c>
      <c r="I35" s="63" t="s">
        <v>19</v>
      </c>
      <c r="J35" s="63" t="s">
        <v>20</v>
      </c>
      <c r="K35" s="63" t="s">
        <v>121</v>
      </c>
      <c r="L35" s="63">
        <v>543632727</v>
      </c>
      <c r="M35" s="63">
        <v>13</v>
      </c>
      <c r="N35" s="63"/>
    </row>
    <row r="36" spans="1:14" ht="23.45" customHeight="1">
      <c r="A36" s="61">
        <v>35</v>
      </c>
      <c r="B36" s="61">
        <v>1103</v>
      </c>
      <c r="C36" s="62" t="s">
        <v>122</v>
      </c>
      <c r="D36" s="61" t="s">
        <v>15</v>
      </c>
      <c r="E36" s="61" t="s">
        <v>23</v>
      </c>
      <c r="F36" s="61" t="s">
        <v>37</v>
      </c>
      <c r="G36" s="61" t="s">
        <v>30</v>
      </c>
      <c r="H36" s="61" t="s">
        <v>54</v>
      </c>
      <c r="I36" s="61" t="s">
        <v>19</v>
      </c>
      <c r="J36" s="61" t="s">
        <v>20</v>
      </c>
      <c r="K36" s="61" t="s">
        <v>123</v>
      </c>
      <c r="L36" s="61">
        <v>546406400</v>
      </c>
      <c r="M36" s="61">
        <v>13</v>
      </c>
      <c r="N36" s="61"/>
    </row>
    <row r="37" spans="1:14" ht="23.45" customHeight="1">
      <c r="A37" s="63">
        <v>36</v>
      </c>
      <c r="B37" s="63">
        <v>4786</v>
      </c>
      <c r="C37" s="64" t="s">
        <v>124</v>
      </c>
      <c r="D37" s="63" t="s">
        <v>15</v>
      </c>
      <c r="E37" s="63" t="s">
        <v>28</v>
      </c>
      <c r="F37" s="63" t="s">
        <v>78</v>
      </c>
      <c r="G37" s="63" t="s">
        <v>125</v>
      </c>
      <c r="H37" s="63" t="s">
        <v>78</v>
      </c>
      <c r="I37" s="63" t="s">
        <v>19</v>
      </c>
      <c r="J37" s="63" t="s">
        <v>20</v>
      </c>
      <c r="K37" s="63" t="s">
        <v>126</v>
      </c>
      <c r="L37" s="63">
        <v>505603195</v>
      </c>
      <c r="M37" s="63">
        <v>13</v>
      </c>
      <c r="N37" s="63"/>
    </row>
    <row r="38" spans="1:14" ht="23.45" customHeight="1">
      <c r="A38" s="61">
        <v>37</v>
      </c>
      <c r="B38" s="61">
        <v>13468</v>
      </c>
      <c r="C38" s="62" t="s">
        <v>127</v>
      </c>
      <c r="D38" s="61" t="s">
        <v>15</v>
      </c>
      <c r="E38" s="61" t="s">
        <v>16</v>
      </c>
      <c r="F38" s="61" t="s">
        <v>85</v>
      </c>
      <c r="G38" s="61" t="s">
        <v>85</v>
      </c>
      <c r="H38" s="61" t="s">
        <v>87</v>
      </c>
      <c r="I38" s="61" t="s">
        <v>19</v>
      </c>
      <c r="J38" s="61" t="s">
        <v>20</v>
      </c>
      <c r="K38" s="61" t="s">
        <v>128</v>
      </c>
      <c r="L38" s="61">
        <v>564448088</v>
      </c>
      <c r="M38" s="61">
        <v>13</v>
      </c>
      <c r="N38" s="61"/>
    </row>
    <row r="39" spans="1:14" ht="23.45" customHeight="1">
      <c r="A39" s="63">
        <v>38</v>
      </c>
      <c r="B39" s="63">
        <v>11239</v>
      </c>
      <c r="C39" s="64" t="s">
        <v>129</v>
      </c>
      <c r="D39" s="63" t="s">
        <v>15</v>
      </c>
      <c r="E39" s="63" t="s">
        <v>16</v>
      </c>
      <c r="F39" s="63" t="s">
        <v>61</v>
      </c>
      <c r="G39" s="63" t="s">
        <v>61</v>
      </c>
      <c r="H39" s="63" t="s">
        <v>61</v>
      </c>
      <c r="I39" s="63" t="s">
        <v>19</v>
      </c>
      <c r="J39" s="63" t="s">
        <v>20</v>
      </c>
      <c r="K39" s="63" t="s">
        <v>130</v>
      </c>
      <c r="L39" s="63">
        <v>506744295</v>
      </c>
      <c r="M39" s="63">
        <v>13</v>
      </c>
      <c r="N39" s="63"/>
    </row>
    <row r="40" spans="1:14" ht="23.45" customHeight="1">
      <c r="A40" s="61">
        <v>39</v>
      </c>
      <c r="B40" s="61">
        <v>16427</v>
      </c>
      <c r="C40" s="62" t="s">
        <v>131</v>
      </c>
      <c r="D40" s="61" t="s">
        <v>15</v>
      </c>
      <c r="E40" s="61" t="s">
        <v>28</v>
      </c>
      <c r="F40" s="61" t="s">
        <v>29</v>
      </c>
      <c r="G40" s="61" t="s">
        <v>29</v>
      </c>
      <c r="H40" s="61" t="s">
        <v>29</v>
      </c>
      <c r="I40" s="61" t="s">
        <v>19</v>
      </c>
      <c r="J40" s="61" t="s">
        <v>20</v>
      </c>
      <c r="K40" s="61" t="s">
        <v>132</v>
      </c>
      <c r="L40" s="61">
        <v>506745605</v>
      </c>
      <c r="M40" s="61">
        <v>13</v>
      </c>
      <c r="N40" s="61"/>
    </row>
    <row r="41" spans="1:14" ht="23.45" customHeight="1">
      <c r="A41" s="63">
        <v>40</v>
      </c>
      <c r="B41" s="63">
        <v>7098</v>
      </c>
      <c r="C41" s="64" t="s">
        <v>133</v>
      </c>
      <c r="D41" s="63" t="s">
        <v>15</v>
      </c>
      <c r="E41" s="63" t="s">
        <v>134</v>
      </c>
      <c r="F41" s="63" t="s">
        <v>61</v>
      </c>
      <c r="G41" s="63" t="s">
        <v>135</v>
      </c>
      <c r="H41" s="63" t="s">
        <v>61</v>
      </c>
      <c r="I41" s="63" t="s">
        <v>136</v>
      </c>
      <c r="J41" s="63" t="s">
        <v>20</v>
      </c>
      <c r="K41" s="63" t="s">
        <v>137</v>
      </c>
      <c r="L41" s="63">
        <v>506546462</v>
      </c>
      <c r="M41" s="63">
        <v>13</v>
      </c>
      <c r="N41" s="63"/>
    </row>
    <row r="42" spans="1:14" ht="23.45" customHeight="1">
      <c r="A42" s="61">
        <v>41</v>
      </c>
      <c r="B42" s="61">
        <v>6787</v>
      </c>
      <c r="C42" s="62" t="s">
        <v>138</v>
      </c>
      <c r="D42" s="61" t="s">
        <v>15</v>
      </c>
      <c r="E42" s="61" t="s">
        <v>16</v>
      </c>
      <c r="F42" s="61" t="s">
        <v>37</v>
      </c>
      <c r="G42" s="61" t="s">
        <v>30</v>
      </c>
      <c r="H42" s="61" t="s">
        <v>37</v>
      </c>
      <c r="I42" s="61" t="s">
        <v>73</v>
      </c>
      <c r="J42" s="61" t="s">
        <v>20</v>
      </c>
      <c r="K42" s="61" t="s">
        <v>139</v>
      </c>
      <c r="L42" s="61">
        <v>540244457</v>
      </c>
      <c r="M42" s="61">
        <v>13</v>
      </c>
      <c r="N42" s="61"/>
    </row>
    <row r="43" spans="1:14" ht="23.45" customHeight="1">
      <c r="A43" s="63">
        <v>42</v>
      </c>
      <c r="B43" s="63">
        <v>10429</v>
      </c>
      <c r="C43" s="64" t="s">
        <v>140</v>
      </c>
      <c r="D43" s="63" t="s">
        <v>15</v>
      </c>
      <c r="E43" s="63" t="s">
        <v>16</v>
      </c>
      <c r="F43" s="63" t="s">
        <v>141</v>
      </c>
      <c r="G43" s="63" t="s">
        <v>141</v>
      </c>
      <c r="H43" s="63" t="s">
        <v>78</v>
      </c>
      <c r="I43" s="63" t="s">
        <v>142</v>
      </c>
      <c r="J43" s="63" t="s">
        <v>20</v>
      </c>
      <c r="K43" s="63" t="s">
        <v>143</v>
      </c>
      <c r="L43" s="63">
        <v>505595030</v>
      </c>
      <c r="M43" s="63">
        <v>13</v>
      </c>
      <c r="N43" s="63"/>
    </row>
    <row r="44" spans="1:14" ht="23.45" customHeight="1">
      <c r="A44" s="61">
        <v>43</v>
      </c>
      <c r="B44" s="61">
        <v>6957</v>
      </c>
      <c r="C44" s="62" t="s">
        <v>144</v>
      </c>
      <c r="D44" s="61" t="s">
        <v>15</v>
      </c>
      <c r="E44" s="61" t="s">
        <v>28</v>
      </c>
      <c r="F44" s="61" t="s">
        <v>37</v>
      </c>
      <c r="G44" s="61" t="s">
        <v>37</v>
      </c>
      <c r="H44" s="61" t="s">
        <v>37</v>
      </c>
      <c r="I44" s="61" t="s">
        <v>19</v>
      </c>
      <c r="J44" s="61" t="s">
        <v>20</v>
      </c>
      <c r="K44" s="61" t="s">
        <v>145</v>
      </c>
      <c r="L44" s="61">
        <v>565724404</v>
      </c>
      <c r="M44" s="61">
        <v>13</v>
      </c>
      <c r="N44" s="61"/>
    </row>
    <row r="45" spans="1:14" ht="23.45" customHeight="1">
      <c r="A45" s="63">
        <v>44</v>
      </c>
      <c r="B45" s="63">
        <v>6869</v>
      </c>
      <c r="C45" s="64" t="s">
        <v>146</v>
      </c>
      <c r="D45" s="63" t="s">
        <v>15</v>
      </c>
      <c r="E45" s="63" t="s">
        <v>147</v>
      </c>
      <c r="F45" s="63" t="s">
        <v>148</v>
      </c>
      <c r="G45" s="63" t="s">
        <v>149</v>
      </c>
      <c r="H45" s="63" t="s">
        <v>148</v>
      </c>
      <c r="I45" s="63" t="s">
        <v>19</v>
      </c>
      <c r="J45" s="63" t="s">
        <v>20</v>
      </c>
      <c r="K45" s="63" t="s">
        <v>150</v>
      </c>
      <c r="L45" s="63">
        <v>505625096</v>
      </c>
      <c r="M45" s="63">
        <v>13</v>
      </c>
      <c r="N45" s="63"/>
    </row>
    <row r="46" spans="1:14" ht="23.45" customHeight="1">
      <c r="A46" s="61">
        <v>45</v>
      </c>
      <c r="B46" s="61">
        <v>7014</v>
      </c>
      <c r="C46" s="62" t="s">
        <v>151</v>
      </c>
      <c r="D46" s="61" t="s">
        <v>15</v>
      </c>
      <c r="E46" s="61" t="s">
        <v>16</v>
      </c>
      <c r="F46" s="61" t="s">
        <v>37</v>
      </c>
      <c r="G46" s="61" t="s">
        <v>30</v>
      </c>
      <c r="H46" s="61" t="s">
        <v>37</v>
      </c>
      <c r="I46" s="61" t="s">
        <v>19</v>
      </c>
      <c r="J46" s="61" t="s">
        <v>20</v>
      </c>
      <c r="K46" s="61" t="s">
        <v>152</v>
      </c>
      <c r="L46" s="61">
        <v>505695067</v>
      </c>
      <c r="M46" s="61">
        <v>13</v>
      </c>
      <c r="N46" s="61"/>
    </row>
    <row r="47" spans="1:14" ht="23.45" customHeight="1">
      <c r="A47" s="63">
        <v>46</v>
      </c>
      <c r="B47" s="63">
        <v>6837</v>
      </c>
      <c r="C47" s="64" t="s">
        <v>153</v>
      </c>
      <c r="D47" s="63" t="s">
        <v>154</v>
      </c>
      <c r="E47" s="63" t="s">
        <v>16</v>
      </c>
      <c r="F47" s="63" t="s">
        <v>155</v>
      </c>
      <c r="G47" s="63" t="s">
        <v>156</v>
      </c>
      <c r="H47" s="63" t="s">
        <v>155</v>
      </c>
      <c r="I47" s="63" t="s">
        <v>19</v>
      </c>
      <c r="J47" s="63" t="s">
        <v>20</v>
      </c>
      <c r="K47" s="63" t="s">
        <v>157</v>
      </c>
      <c r="L47" s="63">
        <v>550006222</v>
      </c>
      <c r="M47" s="63">
        <v>16</v>
      </c>
      <c r="N47" s="63"/>
    </row>
    <row r="48" spans="1:14" ht="23.45" customHeight="1">
      <c r="A48" s="61">
        <v>47</v>
      </c>
      <c r="B48" s="61">
        <v>6838</v>
      </c>
      <c r="C48" s="62" t="s">
        <v>158</v>
      </c>
      <c r="D48" s="61" t="s">
        <v>154</v>
      </c>
      <c r="E48" s="61" t="s">
        <v>28</v>
      </c>
      <c r="F48" s="61" t="s">
        <v>155</v>
      </c>
      <c r="G48" s="61" t="s">
        <v>30</v>
      </c>
      <c r="H48" s="61" t="s">
        <v>159</v>
      </c>
      <c r="I48" s="61" t="s">
        <v>55</v>
      </c>
      <c r="J48" s="61" t="s">
        <v>20</v>
      </c>
      <c r="K48" s="61" t="s">
        <v>160</v>
      </c>
      <c r="L48" s="61">
        <v>563330167</v>
      </c>
      <c r="M48" s="61">
        <v>16</v>
      </c>
      <c r="N48" s="61"/>
    </row>
    <row r="49" spans="1:14" ht="23.45" customHeight="1">
      <c r="A49" s="63">
        <v>48</v>
      </c>
      <c r="B49" s="63">
        <v>11419</v>
      </c>
      <c r="C49" s="64" t="s">
        <v>161</v>
      </c>
      <c r="D49" s="63" t="s">
        <v>154</v>
      </c>
      <c r="E49" s="63" t="s">
        <v>28</v>
      </c>
      <c r="F49" s="63" t="s">
        <v>162</v>
      </c>
      <c r="G49" s="63" t="s">
        <v>30</v>
      </c>
      <c r="H49" s="63" t="s">
        <v>163</v>
      </c>
      <c r="I49" s="63" t="s">
        <v>55</v>
      </c>
      <c r="J49" s="63" t="s">
        <v>20</v>
      </c>
      <c r="K49" s="63" t="s">
        <v>164</v>
      </c>
      <c r="L49" s="63">
        <v>560906899</v>
      </c>
      <c r="M49" s="63">
        <v>16</v>
      </c>
      <c r="N49" s="63"/>
    </row>
    <row r="50" spans="1:14" ht="23.45" customHeight="1">
      <c r="A50" s="61">
        <v>49</v>
      </c>
      <c r="B50" s="61">
        <v>14538</v>
      </c>
      <c r="C50" s="62" t="s">
        <v>165</v>
      </c>
      <c r="D50" s="61" t="s">
        <v>154</v>
      </c>
      <c r="E50" s="61" t="s">
        <v>28</v>
      </c>
      <c r="F50" s="61" t="s">
        <v>166</v>
      </c>
      <c r="G50" s="61" t="s">
        <v>30</v>
      </c>
      <c r="H50" s="61" t="s">
        <v>166</v>
      </c>
      <c r="I50" s="61" t="s">
        <v>19</v>
      </c>
      <c r="J50" s="61" t="s">
        <v>20</v>
      </c>
      <c r="K50" s="61" t="s">
        <v>167</v>
      </c>
      <c r="L50" s="61">
        <v>504666859</v>
      </c>
      <c r="M50" s="61">
        <v>16</v>
      </c>
      <c r="N50" s="61"/>
    </row>
    <row r="51" spans="1:14" ht="23.45" customHeight="1">
      <c r="A51" s="63">
        <v>50</v>
      </c>
      <c r="B51" s="63">
        <v>16136</v>
      </c>
      <c r="C51" s="64" t="s">
        <v>168</v>
      </c>
      <c r="D51" s="63" t="s">
        <v>154</v>
      </c>
      <c r="E51" s="63" t="s">
        <v>28</v>
      </c>
      <c r="F51" s="63" t="s">
        <v>169</v>
      </c>
      <c r="G51" s="63" t="s">
        <v>30</v>
      </c>
      <c r="H51" s="63" t="s">
        <v>170</v>
      </c>
      <c r="I51" s="63" t="s">
        <v>19</v>
      </c>
      <c r="J51" s="63" t="s">
        <v>20</v>
      </c>
      <c r="K51" s="63" t="s">
        <v>171</v>
      </c>
      <c r="L51" s="63">
        <v>566268268</v>
      </c>
      <c r="M51" s="63">
        <v>16</v>
      </c>
      <c r="N51" s="63"/>
    </row>
    <row r="52" spans="1:14" ht="23.45" customHeight="1">
      <c r="A52" s="61">
        <v>51</v>
      </c>
      <c r="B52" s="61">
        <v>24245</v>
      </c>
      <c r="C52" s="62" t="s">
        <v>172</v>
      </c>
      <c r="D52" s="61" t="s">
        <v>154</v>
      </c>
      <c r="E52" s="61" t="s">
        <v>134</v>
      </c>
      <c r="F52" s="61" t="s">
        <v>159</v>
      </c>
      <c r="G52" s="61" t="s">
        <v>173</v>
      </c>
      <c r="H52" s="61" t="s">
        <v>159</v>
      </c>
      <c r="I52" s="61" t="s">
        <v>55</v>
      </c>
      <c r="J52" s="61" t="s">
        <v>174</v>
      </c>
      <c r="K52" s="61" t="s">
        <v>175</v>
      </c>
      <c r="L52" s="61">
        <v>537345692</v>
      </c>
      <c r="M52" s="61">
        <v>16</v>
      </c>
      <c r="N52" s="61"/>
    </row>
    <row r="53" spans="1:14" ht="23.45" customHeight="1">
      <c r="A53" s="63">
        <v>52</v>
      </c>
      <c r="B53" s="63">
        <v>5152</v>
      </c>
      <c r="C53" s="64" t="s">
        <v>176</v>
      </c>
      <c r="D53" s="63" t="s">
        <v>154</v>
      </c>
      <c r="E53" s="63" t="s">
        <v>28</v>
      </c>
      <c r="F53" s="63" t="s">
        <v>159</v>
      </c>
      <c r="G53" s="63" t="s">
        <v>159</v>
      </c>
      <c r="H53" s="63" t="s">
        <v>159</v>
      </c>
      <c r="I53" s="63" t="s">
        <v>19</v>
      </c>
      <c r="J53" s="63" t="s">
        <v>20</v>
      </c>
      <c r="K53" s="63" t="s">
        <v>177</v>
      </c>
      <c r="L53" s="63">
        <v>122903864</v>
      </c>
      <c r="M53" s="63">
        <v>16</v>
      </c>
      <c r="N53" s="63"/>
    </row>
    <row r="54" spans="1:14" ht="23.45" customHeight="1">
      <c r="A54" s="61">
        <v>53</v>
      </c>
      <c r="B54" s="61">
        <v>14544</v>
      </c>
      <c r="C54" s="62" t="s">
        <v>178</v>
      </c>
      <c r="D54" s="61" t="s">
        <v>154</v>
      </c>
      <c r="E54" s="61" t="s">
        <v>28</v>
      </c>
      <c r="F54" s="61" t="s">
        <v>179</v>
      </c>
      <c r="G54" s="61" t="s">
        <v>30</v>
      </c>
      <c r="H54" s="61" t="s">
        <v>180</v>
      </c>
      <c r="I54" s="61" t="s">
        <v>19</v>
      </c>
      <c r="J54" s="61" t="s">
        <v>20</v>
      </c>
      <c r="K54" s="61" t="s">
        <v>181</v>
      </c>
      <c r="L54" s="61">
        <v>505535587</v>
      </c>
      <c r="M54" s="61">
        <v>16</v>
      </c>
      <c r="N54" s="61"/>
    </row>
    <row r="55" spans="1:14" ht="23.45" customHeight="1">
      <c r="A55" s="63">
        <v>54</v>
      </c>
      <c r="B55" s="63">
        <v>122</v>
      </c>
      <c r="C55" s="64" t="s">
        <v>182</v>
      </c>
      <c r="D55" s="63" t="s">
        <v>154</v>
      </c>
      <c r="E55" s="63" t="s">
        <v>28</v>
      </c>
      <c r="F55" s="63" t="s">
        <v>155</v>
      </c>
      <c r="G55" s="63" t="s">
        <v>183</v>
      </c>
      <c r="H55" s="63" t="s">
        <v>155</v>
      </c>
      <c r="I55" s="63" t="s">
        <v>55</v>
      </c>
      <c r="J55" s="63" t="s">
        <v>20</v>
      </c>
      <c r="K55" s="63" t="s">
        <v>184</v>
      </c>
      <c r="L55" s="63">
        <v>555880631</v>
      </c>
      <c r="M55" s="63">
        <v>16</v>
      </c>
      <c r="N55" s="63"/>
    </row>
    <row r="56" spans="1:14" ht="23.45" customHeight="1">
      <c r="A56" s="61">
        <v>55</v>
      </c>
      <c r="B56" s="61">
        <v>9656</v>
      </c>
      <c r="C56" s="62" t="s">
        <v>185</v>
      </c>
      <c r="D56" s="61" t="s">
        <v>154</v>
      </c>
      <c r="E56" s="61" t="s">
        <v>28</v>
      </c>
      <c r="F56" s="61" t="s">
        <v>159</v>
      </c>
      <c r="G56" s="61" t="s">
        <v>30</v>
      </c>
      <c r="H56" s="61" t="s">
        <v>159</v>
      </c>
      <c r="I56" s="61" t="s">
        <v>55</v>
      </c>
      <c r="J56" s="61" t="s">
        <v>20</v>
      </c>
      <c r="K56" s="61" t="s">
        <v>186</v>
      </c>
      <c r="L56" s="61">
        <v>566887670</v>
      </c>
      <c r="M56" s="61">
        <v>16</v>
      </c>
      <c r="N56" s="61"/>
    </row>
    <row r="57" spans="1:14" ht="23.45" customHeight="1">
      <c r="A57" s="63">
        <v>56</v>
      </c>
      <c r="B57" s="63">
        <v>24331</v>
      </c>
      <c r="C57" s="64" t="s">
        <v>187</v>
      </c>
      <c r="D57" s="63" t="s">
        <v>154</v>
      </c>
      <c r="E57" s="63" t="s">
        <v>134</v>
      </c>
      <c r="F57" s="63" t="s">
        <v>159</v>
      </c>
      <c r="G57" s="63" t="s">
        <v>159</v>
      </c>
      <c r="H57" s="63" t="s">
        <v>159</v>
      </c>
      <c r="I57" s="63" t="s">
        <v>55</v>
      </c>
      <c r="J57" s="63" t="s">
        <v>174</v>
      </c>
      <c r="K57" s="63" t="s">
        <v>175</v>
      </c>
      <c r="L57" s="63">
        <v>544110258</v>
      </c>
      <c r="M57" s="63">
        <v>16</v>
      </c>
      <c r="N57" s="63"/>
    </row>
    <row r="58" spans="1:14" ht="23.45" customHeight="1">
      <c r="A58" s="61">
        <v>57</v>
      </c>
      <c r="B58" s="61">
        <v>4783</v>
      </c>
      <c r="C58" s="62" t="s">
        <v>188</v>
      </c>
      <c r="D58" s="61" t="s">
        <v>154</v>
      </c>
      <c r="E58" s="61" t="s">
        <v>28</v>
      </c>
      <c r="F58" s="61" t="s">
        <v>159</v>
      </c>
      <c r="G58" s="61" t="s">
        <v>189</v>
      </c>
      <c r="H58" s="61" t="s">
        <v>159</v>
      </c>
      <c r="I58" s="61" t="s">
        <v>19</v>
      </c>
      <c r="J58" s="61" t="s">
        <v>20</v>
      </c>
      <c r="K58" s="61" t="s">
        <v>190</v>
      </c>
      <c r="L58" s="61">
        <v>503676126</v>
      </c>
      <c r="M58" s="61">
        <v>16</v>
      </c>
      <c r="N58" s="61"/>
    </row>
    <row r="59" spans="1:14" ht="23.45" customHeight="1">
      <c r="A59" s="63">
        <v>58</v>
      </c>
      <c r="B59" s="63">
        <v>8417</v>
      </c>
      <c r="C59" s="64" t="s">
        <v>191</v>
      </c>
      <c r="D59" s="63" t="s">
        <v>154</v>
      </c>
      <c r="E59" s="63" t="s">
        <v>28</v>
      </c>
      <c r="F59" s="63" t="s">
        <v>159</v>
      </c>
      <c r="G59" s="63" t="s">
        <v>30</v>
      </c>
      <c r="H59" s="63" t="s">
        <v>159</v>
      </c>
      <c r="I59" s="63" t="s">
        <v>55</v>
      </c>
      <c r="J59" s="63" t="s">
        <v>20</v>
      </c>
      <c r="K59" s="63" t="s">
        <v>192</v>
      </c>
      <c r="L59" s="63">
        <v>551616316</v>
      </c>
      <c r="M59" s="63">
        <v>16</v>
      </c>
      <c r="N59" s="63"/>
    </row>
    <row r="60" spans="1:14" ht="23.45" customHeight="1">
      <c r="A60" s="61">
        <v>59</v>
      </c>
      <c r="B60" s="61">
        <v>5790</v>
      </c>
      <c r="C60" s="62" t="s">
        <v>193</v>
      </c>
      <c r="D60" s="61" t="s">
        <v>154</v>
      </c>
      <c r="E60" s="61" t="s">
        <v>16</v>
      </c>
      <c r="F60" s="61" t="s">
        <v>194</v>
      </c>
      <c r="G60" s="61" t="s">
        <v>154</v>
      </c>
      <c r="H60" s="61" t="s">
        <v>194</v>
      </c>
      <c r="I60" s="61" t="s">
        <v>19</v>
      </c>
      <c r="J60" s="61" t="s">
        <v>20</v>
      </c>
      <c r="K60" s="61" t="s">
        <v>195</v>
      </c>
      <c r="L60" s="61">
        <v>555599288</v>
      </c>
      <c r="M60" s="61">
        <v>16</v>
      </c>
      <c r="N60" s="61"/>
    </row>
    <row r="61" spans="1:14" ht="23.45" customHeight="1">
      <c r="A61" s="63">
        <v>60</v>
      </c>
      <c r="B61" s="63">
        <v>14551</v>
      </c>
      <c r="C61" s="64" t="s">
        <v>196</v>
      </c>
      <c r="D61" s="63" t="s">
        <v>154</v>
      </c>
      <c r="E61" s="63" t="s">
        <v>28</v>
      </c>
      <c r="F61" s="63" t="s">
        <v>197</v>
      </c>
      <c r="G61" s="63" t="s">
        <v>30</v>
      </c>
      <c r="H61" s="63" t="s">
        <v>197</v>
      </c>
      <c r="I61" s="63" t="s">
        <v>19</v>
      </c>
      <c r="J61" s="63" t="s">
        <v>20</v>
      </c>
      <c r="K61" s="63" t="s">
        <v>198</v>
      </c>
      <c r="L61" s="63">
        <v>505503358</v>
      </c>
      <c r="M61" s="63">
        <v>16</v>
      </c>
      <c r="N61" s="63"/>
    </row>
    <row r="62" spans="1:14" ht="23.45" customHeight="1">
      <c r="A62" s="61">
        <v>61</v>
      </c>
      <c r="B62" s="61">
        <v>14549</v>
      </c>
      <c r="C62" s="62" t="s">
        <v>199</v>
      </c>
      <c r="D62" s="61" t="s">
        <v>154</v>
      </c>
      <c r="E62" s="61" t="s">
        <v>28</v>
      </c>
      <c r="F62" s="61"/>
      <c r="G62" s="61" t="s">
        <v>200</v>
      </c>
      <c r="H62" s="61" t="s">
        <v>200</v>
      </c>
      <c r="I62" s="61" t="s">
        <v>19</v>
      </c>
      <c r="J62" s="61" t="s">
        <v>20</v>
      </c>
      <c r="K62" s="61" t="s">
        <v>201</v>
      </c>
      <c r="L62" s="61">
        <v>555580799</v>
      </c>
      <c r="M62" s="61">
        <v>16</v>
      </c>
      <c r="N62" s="61"/>
    </row>
    <row r="63" spans="1:14" ht="23.45" customHeight="1">
      <c r="A63" s="63">
        <v>62</v>
      </c>
      <c r="B63" s="63">
        <v>3205</v>
      </c>
      <c r="C63" s="64" t="s">
        <v>202</v>
      </c>
      <c r="D63" s="63" t="s">
        <v>154</v>
      </c>
      <c r="E63" s="63" t="s">
        <v>16</v>
      </c>
      <c r="F63" s="63" t="s">
        <v>194</v>
      </c>
      <c r="G63" s="63" t="s">
        <v>203</v>
      </c>
      <c r="H63" s="63" t="s">
        <v>194</v>
      </c>
      <c r="I63" s="63" t="s">
        <v>19</v>
      </c>
      <c r="J63" s="63" t="s">
        <v>20</v>
      </c>
      <c r="K63" s="63" t="s">
        <v>204</v>
      </c>
      <c r="L63" s="63">
        <v>558580441</v>
      </c>
      <c r="M63" s="63">
        <v>16</v>
      </c>
      <c r="N63" s="63"/>
    </row>
    <row r="64" spans="1:14" ht="23.45" customHeight="1">
      <c r="A64" s="61">
        <v>63</v>
      </c>
      <c r="B64" s="61">
        <v>18561</v>
      </c>
      <c r="C64" s="62" t="s">
        <v>205</v>
      </c>
      <c r="D64" s="61" t="s">
        <v>154</v>
      </c>
      <c r="E64" s="61" t="s">
        <v>16</v>
      </c>
      <c r="F64" s="61" t="s">
        <v>194</v>
      </c>
      <c r="G64" s="61" t="s">
        <v>206</v>
      </c>
      <c r="H64" s="61" t="s">
        <v>194</v>
      </c>
      <c r="I64" s="61" t="s">
        <v>19</v>
      </c>
      <c r="J64" s="61" t="s">
        <v>20</v>
      </c>
      <c r="K64" s="61" t="s">
        <v>207</v>
      </c>
      <c r="L64" s="61">
        <v>555535756</v>
      </c>
      <c r="M64" s="61">
        <v>16</v>
      </c>
      <c r="N64" s="61"/>
    </row>
    <row r="65" spans="1:14" ht="23.45" customHeight="1">
      <c r="A65" s="63">
        <v>64</v>
      </c>
      <c r="B65" s="63">
        <v>15022</v>
      </c>
      <c r="C65" s="64" t="s">
        <v>208</v>
      </c>
      <c r="D65" s="63" t="s">
        <v>154</v>
      </c>
      <c r="E65" s="63" t="s">
        <v>16</v>
      </c>
      <c r="F65" s="63" t="s">
        <v>155</v>
      </c>
      <c r="G65" s="63" t="s">
        <v>30</v>
      </c>
      <c r="H65" s="63" t="s">
        <v>155</v>
      </c>
      <c r="I65" s="63" t="s">
        <v>19</v>
      </c>
      <c r="J65" s="63" t="s">
        <v>20</v>
      </c>
      <c r="K65" s="63" t="s">
        <v>209</v>
      </c>
      <c r="L65" s="63">
        <v>555602370</v>
      </c>
      <c r="M65" s="63">
        <v>16</v>
      </c>
      <c r="N65" s="63"/>
    </row>
    <row r="66" spans="1:14" ht="23.45" customHeight="1">
      <c r="A66" s="61">
        <v>65</v>
      </c>
      <c r="B66" s="61">
        <v>11795</v>
      </c>
      <c r="C66" s="62" t="s">
        <v>210</v>
      </c>
      <c r="D66" s="61" t="s">
        <v>154</v>
      </c>
      <c r="E66" s="61" t="s">
        <v>28</v>
      </c>
      <c r="F66" s="61" t="s">
        <v>159</v>
      </c>
      <c r="G66" s="61" t="s">
        <v>30</v>
      </c>
      <c r="H66" s="61" t="s">
        <v>159</v>
      </c>
      <c r="I66" s="61" t="s">
        <v>55</v>
      </c>
      <c r="J66" s="61" t="s">
        <v>20</v>
      </c>
      <c r="K66" s="61" t="s">
        <v>211</v>
      </c>
      <c r="L66" s="61">
        <v>500122002</v>
      </c>
      <c r="M66" s="61">
        <v>16</v>
      </c>
      <c r="N66" s="61"/>
    </row>
    <row r="67" spans="1:14" ht="23.45" customHeight="1">
      <c r="A67" s="63">
        <v>66</v>
      </c>
      <c r="B67" s="63">
        <v>24255</v>
      </c>
      <c r="C67" s="64" t="s">
        <v>212</v>
      </c>
      <c r="D67" s="63" t="s">
        <v>154</v>
      </c>
      <c r="E67" s="63" t="s">
        <v>134</v>
      </c>
      <c r="F67" s="63" t="s">
        <v>159</v>
      </c>
      <c r="G67" s="63" t="s">
        <v>213</v>
      </c>
      <c r="H67" s="63" t="s">
        <v>159</v>
      </c>
      <c r="I67" s="63" t="s">
        <v>55</v>
      </c>
      <c r="J67" s="63" t="s">
        <v>174</v>
      </c>
      <c r="K67" s="63" t="s">
        <v>214</v>
      </c>
      <c r="L67" s="63">
        <v>546436381</v>
      </c>
      <c r="M67" s="63">
        <v>16</v>
      </c>
      <c r="N67" s="63"/>
    </row>
    <row r="68" spans="1:14" ht="23.45" customHeight="1">
      <c r="A68" s="61">
        <v>67</v>
      </c>
      <c r="B68" s="61">
        <v>8474</v>
      </c>
      <c r="C68" s="62" t="s">
        <v>215</v>
      </c>
      <c r="D68" s="61" t="s">
        <v>154</v>
      </c>
      <c r="E68" s="61" t="s">
        <v>28</v>
      </c>
      <c r="F68" s="61" t="s">
        <v>216</v>
      </c>
      <c r="G68" s="61" t="s">
        <v>30</v>
      </c>
      <c r="H68" s="61" t="s">
        <v>216</v>
      </c>
      <c r="I68" s="61" t="s">
        <v>55</v>
      </c>
      <c r="J68" s="61" t="s">
        <v>20</v>
      </c>
      <c r="K68" s="61" t="s">
        <v>217</v>
      </c>
      <c r="L68" s="61">
        <v>566994400</v>
      </c>
      <c r="M68" s="61">
        <v>16</v>
      </c>
      <c r="N68" s="61"/>
    </row>
    <row r="69" spans="1:14" ht="23.45" customHeight="1">
      <c r="A69" s="63">
        <v>68</v>
      </c>
      <c r="B69" s="63">
        <v>14537</v>
      </c>
      <c r="C69" s="64" t="s">
        <v>218</v>
      </c>
      <c r="D69" s="63" t="s">
        <v>154</v>
      </c>
      <c r="E69" s="63" t="s">
        <v>28</v>
      </c>
      <c r="F69" s="63" t="s">
        <v>30</v>
      </c>
      <c r="G69" s="63" t="s">
        <v>219</v>
      </c>
      <c r="H69" s="63" t="s">
        <v>219</v>
      </c>
      <c r="I69" s="63" t="s">
        <v>19</v>
      </c>
      <c r="J69" s="63" t="s">
        <v>20</v>
      </c>
      <c r="K69" s="63" t="s">
        <v>220</v>
      </c>
      <c r="L69" s="63">
        <v>549000275</v>
      </c>
      <c r="M69" s="63">
        <v>16</v>
      </c>
      <c r="N69" s="63"/>
    </row>
    <row r="70" spans="1:14" ht="23.45" customHeight="1">
      <c r="A70" s="61">
        <v>69</v>
      </c>
      <c r="B70" s="61">
        <v>15557</v>
      </c>
      <c r="C70" s="62" t="s">
        <v>221</v>
      </c>
      <c r="D70" s="61" t="s">
        <v>154</v>
      </c>
      <c r="E70" s="61" t="s">
        <v>28</v>
      </c>
      <c r="F70" s="61" t="s">
        <v>170</v>
      </c>
      <c r="G70" s="61" t="s">
        <v>170</v>
      </c>
      <c r="H70" s="61" t="s">
        <v>170</v>
      </c>
      <c r="I70" s="61" t="s">
        <v>19</v>
      </c>
      <c r="J70" s="61" t="s">
        <v>20</v>
      </c>
      <c r="K70" s="61" t="s">
        <v>222</v>
      </c>
      <c r="L70" s="61">
        <v>505855442</v>
      </c>
      <c r="M70" s="61">
        <v>16</v>
      </c>
      <c r="N70" s="61"/>
    </row>
    <row r="71" spans="1:14" ht="23.45" customHeight="1">
      <c r="A71" s="63">
        <v>70</v>
      </c>
      <c r="B71" s="63">
        <v>13465</v>
      </c>
      <c r="C71" s="64" t="s">
        <v>223</v>
      </c>
      <c r="D71" s="63" t="s">
        <v>154</v>
      </c>
      <c r="E71" s="63" t="s">
        <v>28</v>
      </c>
      <c r="F71" s="63" t="s">
        <v>189</v>
      </c>
      <c r="G71" s="63" t="s">
        <v>30</v>
      </c>
      <c r="H71" s="63" t="s">
        <v>189</v>
      </c>
      <c r="I71" s="63" t="s">
        <v>55</v>
      </c>
      <c r="J71" s="63" t="s">
        <v>20</v>
      </c>
      <c r="K71" s="63" t="s">
        <v>224</v>
      </c>
      <c r="L71" s="63">
        <v>545052172</v>
      </c>
      <c r="M71" s="63">
        <v>16</v>
      </c>
      <c r="N71" s="63"/>
    </row>
    <row r="72" spans="1:14" ht="23.45" customHeight="1">
      <c r="A72" s="61">
        <v>71</v>
      </c>
      <c r="B72" s="61">
        <v>6241</v>
      </c>
      <c r="C72" s="62" t="s">
        <v>225</v>
      </c>
      <c r="D72" s="61" t="s">
        <v>154</v>
      </c>
      <c r="E72" s="61" t="s">
        <v>16</v>
      </c>
      <c r="F72" s="61" t="s">
        <v>226</v>
      </c>
      <c r="G72" s="61" t="s">
        <v>30</v>
      </c>
      <c r="H72" s="61" t="s">
        <v>226</v>
      </c>
      <c r="I72" s="61" t="s">
        <v>73</v>
      </c>
      <c r="J72" s="61" t="s">
        <v>20</v>
      </c>
      <c r="K72" s="61" t="s">
        <v>227</v>
      </c>
      <c r="L72" s="61">
        <v>555642155</v>
      </c>
      <c r="M72" s="61">
        <v>16</v>
      </c>
      <c r="N72" s="61"/>
    </row>
    <row r="73" spans="1:14" ht="23.45" customHeight="1">
      <c r="A73" s="63">
        <v>72</v>
      </c>
      <c r="B73" s="63">
        <v>20487</v>
      </c>
      <c r="C73" s="64" t="s">
        <v>228</v>
      </c>
      <c r="D73" s="63" t="s">
        <v>154</v>
      </c>
      <c r="E73" s="63" t="s">
        <v>16</v>
      </c>
      <c r="F73" s="63" t="s">
        <v>194</v>
      </c>
      <c r="G73" s="63" t="s">
        <v>229</v>
      </c>
      <c r="H73" s="63" t="s">
        <v>194</v>
      </c>
      <c r="I73" s="63" t="s">
        <v>19</v>
      </c>
      <c r="J73" s="63" t="s">
        <v>20</v>
      </c>
      <c r="K73" s="63" t="s">
        <v>230</v>
      </c>
      <c r="L73" s="63">
        <v>563668822</v>
      </c>
      <c r="M73" s="63">
        <v>16</v>
      </c>
      <c r="N73" s="63"/>
    </row>
    <row r="74" spans="1:14" ht="23.45" customHeight="1">
      <c r="A74" s="61">
        <v>73</v>
      </c>
      <c r="B74" s="61">
        <v>14682</v>
      </c>
      <c r="C74" s="62" t="s">
        <v>231</v>
      </c>
      <c r="D74" s="61" t="s">
        <v>154</v>
      </c>
      <c r="E74" s="61" t="s">
        <v>16</v>
      </c>
      <c r="F74" s="61" t="s">
        <v>194</v>
      </c>
      <c r="G74" s="61" t="s">
        <v>232</v>
      </c>
      <c r="H74" s="61" t="s">
        <v>194</v>
      </c>
      <c r="I74" s="61" t="s">
        <v>19</v>
      </c>
      <c r="J74" s="61" t="s">
        <v>20</v>
      </c>
      <c r="K74" s="61" t="s">
        <v>233</v>
      </c>
      <c r="L74" s="61">
        <v>505592381</v>
      </c>
      <c r="M74" s="61">
        <v>16</v>
      </c>
      <c r="N74" s="61"/>
    </row>
    <row r="75" spans="1:14" ht="23.45" customHeight="1">
      <c r="A75" s="63">
        <v>74</v>
      </c>
      <c r="B75" s="63">
        <v>6407</v>
      </c>
      <c r="C75" s="64" t="s">
        <v>234</v>
      </c>
      <c r="D75" s="63" t="s">
        <v>154</v>
      </c>
      <c r="E75" s="63" t="s">
        <v>16</v>
      </c>
      <c r="F75" s="63" t="s">
        <v>235</v>
      </c>
      <c r="G75" s="63" t="s">
        <v>30</v>
      </c>
      <c r="H75" s="63" t="s">
        <v>194</v>
      </c>
      <c r="I75" s="63" t="s">
        <v>19</v>
      </c>
      <c r="J75" s="63" t="s">
        <v>20</v>
      </c>
      <c r="K75" s="63" t="s">
        <v>236</v>
      </c>
      <c r="L75" s="63">
        <v>503623071</v>
      </c>
      <c r="M75" s="63">
        <v>16</v>
      </c>
      <c r="N75" s="63"/>
    </row>
    <row r="76" spans="1:14" ht="23.45" customHeight="1">
      <c r="A76" s="61">
        <v>75</v>
      </c>
      <c r="B76" s="61">
        <v>4765</v>
      </c>
      <c r="C76" s="62" t="s">
        <v>237</v>
      </c>
      <c r="D76" s="61" t="s">
        <v>154</v>
      </c>
      <c r="E76" s="61" t="s">
        <v>147</v>
      </c>
      <c r="F76" s="61" t="s">
        <v>235</v>
      </c>
      <c r="G76" s="61" t="s">
        <v>238</v>
      </c>
      <c r="H76" s="61" t="s">
        <v>235</v>
      </c>
      <c r="I76" s="61" t="s">
        <v>142</v>
      </c>
      <c r="J76" s="61" t="s">
        <v>20</v>
      </c>
      <c r="K76" s="61" t="s">
        <v>239</v>
      </c>
      <c r="L76" s="61">
        <v>503635634</v>
      </c>
      <c r="M76" s="61">
        <v>16</v>
      </c>
      <c r="N76" s="61"/>
    </row>
    <row r="77" spans="1:14" ht="23.45" customHeight="1">
      <c r="A77" s="63">
        <v>76</v>
      </c>
      <c r="B77" s="63">
        <v>21361</v>
      </c>
      <c r="C77" s="64" t="s">
        <v>240</v>
      </c>
      <c r="D77" s="63" t="s">
        <v>154</v>
      </c>
      <c r="E77" s="63" t="s">
        <v>28</v>
      </c>
      <c r="F77" s="63" t="s">
        <v>159</v>
      </c>
      <c r="G77" s="63" t="s">
        <v>30</v>
      </c>
      <c r="H77" s="63" t="s">
        <v>159</v>
      </c>
      <c r="I77" s="63" t="s">
        <v>19</v>
      </c>
      <c r="J77" s="63" t="s">
        <v>20</v>
      </c>
      <c r="K77" s="63" t="s">
        <v>241</v>
      </c>
      <c r="L77" s="63">
        <v>555034592</v>
      </c>
      <c r="M77" s="63">
        <v>16</v>
      </c>
      <c r="N77" s="63"/>
    </row>
    <row r="78" spans="1:14" ht="23.45" customHeight="1">
      <c r="A78" s="61">
        <v>77</v>
      </c>
      <c r="B78" s="61">
        <v>20465</v>
      </c>
      <c r="C78" s="62" t="s">
        <v>242</v>
      </c>
      <c r="D78" s="61" t="s">
        <v>154</v>
      </c>
      <c r="E78" s="61" t="s">
        <v>16</v>
      </c>
      <c r="F78" s="61" t="s">
        <v>194</v>
      </c>
      <c r="G78" s="61" t="s">
        <v>229</v>
      </c>
      <c r="H78" s="61" t="s">
        <v>194</v>
      </c>
      <c r="I78" s="61" t="s">
        <v>19</v>
      </c>
      <c r="J78" s="61" t="s">
        <v>20</v>
      </c>
      <c r="K78" s="61" t="s">
        <v>243</v>
      </c>
      <c r="L78" s="61">
        <v>552772772</v>
      </c>
      <c r="M78" s="61">
        <v>16</v>
      </c>
      <c r="N78" s="61"/>
    </row>
    <row r="79" spans="1:14" ht="23.45" customHeight="1">
      <c r="A79" s="63">
        <v>78</v>
      </c>
      <c r="B79" s="63">
        <v>29079</v>
      </c>
      <c r="C79" s="64" t="s">
        <v>244</v>
      </c>
      <c r="D79" s="63" t="s">
        <v>245</v>
      </c>
      <c r="E79" s="63" t="s">
        <v>28</v>
      </c>
      <c r="F79" s="63" t="s">
        <v>246</v>
      </c>
      <c r="G79" s="63" t="s">
        <v>30</v>
      </c>
      <c r="H79" s="63" t="s">
        <v>246</v>
      </c>
      <c r="I79" s="63" t="s">
        <v>19</v>
      </c>
      <c r="J79" s="63" t="s">
        <v>20</v>
      </c>
      <c r="K79" s="63" t="s">
        <v>247</v>
      </c>
      <c r="L79" s="63">
        <v>599015100</v>
      </c>
      <c r="M79" s="63">
        <v>14</v>
      </c>
      <c r="N79" s="63"/>
    </row>
    <row r="80" spans="1:14" ht="23.45" customHeight="1">
      <c r="A80" s="61">
        <v>79</v>
      </c>
      <c r="B80" s="61">
        <v>15579</v>
      </c>
      <c r="C80" s="62" t="s">
        <v>248</v>
      </c>
      <c r="D80" s="61" t="s">
        <v>245</v>
      </c>
      <c r="E80" s="61" t="s">
        <v>28</v>
      </c>
      <c r="F80" s="61" t="s">
        <v>249</v>
      </c>
      <c r="G80" s="61" t="s">
        <v>250</v>
      </c>
      <c r="H80" s="61" t="s">
        <v>249</v>
      </c>
      <c r="I80" s="61" t="s">
        <v>73</v>
      </c>
      <c r="J80" s="61" t="s">
        <v>20</v>
      </c>
      <c r="K80" s="61" t="s">
        <v>251</v>
      </c>
      <c r="L80" s="61">
        <v>554776616</v>
      </c>
      <c r="M80" s="61">
        <v>14</v>
      </c>
      <c r="N80" s="61"/>
    </row>
    <row r="81" spans="1:14" ht="23.45" customHeight="1">
      <c r="A81" s="63">
        <v>80</v>
      </c>
      <c r="B81" s="63">
        <v>16275</v>
      </c>
      <c r="C81" s="64" t="s">
        <v>252</v>
      </c>
      <c r="D81" s="63" t="s">
        <v>245</v>
      </c>
      <c r="E81" s="63" t="s">
        <v>28</v>
      </c>
      <c r="F81" s="63" t="s">
        <v>253</v>
      </c>
      <c r="G81" s="63" t="s">
        <v>254</v>
      </c>
      <c r="H81" s="63" t="s">
        <v>253</v>
      </c>
      <c r="I81" s="63" t="s">
        <v>19</v>
      </c>
      <c r="J81" s="63" t="s">
        <v>20</v>
      </c>
      <c r="K81" s="63" t="s">
        <v>255</v>
      </c>
      <c r="L81" s="63">
        <v>504699343</v>
      </c>
      <c r="M81" s="63">
        <v>14</v>
      </c>
      <c r="N81" s="63"/>
    </row>
    <row r="82" spans="1:14" ht="23.45" customHeight="1">
      <c r="A82" s="61">
        <v>81</v>
      </c>
      <c r="B82" s="61">
        <v>26332</v>
      </c>
      <c r="C82" s="62" t="s">
        <v>256</v>
      </c>
      <c r="D82" s="61" t="s">
        <v>245</v>
      </c>
      <c r="E82" s="61" t="s">
        <v>16</v>
      </c>
      <c r="F82" s="61" t="s">
        <v>246</v>
      </c>
      <c r="G82" s="61" t="s">
        <v>30</v>
      </c>
      <c r="H82" s="61" t="s">
        <v>246</v>
      </c>
      <c r="I82" s="61" t="s">
        <v>142</v>
      </c>
      <c r="J82" s="61" t="s">
        <v>20</v>
      </c>
      <c r="K82" s="61" t="s">
        <v>257</v>
      </c>
      <c r="L82" s="61">
        <v>504699343</v>
      </c>
      <c r="M82" s="61">
        <v>14</v>
      </c>
      <c r="N82" s="61"/>
    </row>
    <row r="83" spans="1:14" ht="23.45" customHeight="1">
      <c r="A83" s="63">
        <v>82</v>
      </c>
      <c r="B83" s="63">
        <v>26676</v>
      </c>
      <c r="C83" s="64" t="s">
        <v>258</v>
      </c>
      <c r="D83" s="63" t="s">
        <v>245</v>
      </c>
      <c r="E83" s="63" t="s">
        <v>16</v>
      </c>
      <c r="F83" s="63" t="s">
        <v>246</v>
      </c>
      <c r="G83" s="63" t="s">
        <v>246</v>
      </c>
      <c r="H83" s="63" t="s">
        <v>246</v>
      </c>
      <c r="I83" s="63" t="s">
        <v>55</v>
      </c>
      <c r="J83" s="63" t="s">
        <v>20</v>
      </c>
      <c r="K83" s="63" t="s">
        <v>259</v>
      </c>
      <c r="L83" s="63">
        <v>540007551</v>
      </c>
      <c r="M83" s="63">
        <v>14</v>
      </c>
      <c r="N83" s="63"/>
    </row>
    <row r="84" spans="1:14" ht="23.45" customHeight="1">
      <c r="A84" s="61">
        <v>83</v>
      </c>
      <c r="B84" s="61">
        <v>14069</v>
      </c>
      <c r="C84" s="62" t="s">
        <v>260</v>
      </c>
      <c r="D84" s="61" t="s">
        <v>245</v>
      </c>
      <c r="E84" s="61" t="s">
        <v>16</v>
      </c>
      <c r="F84" s="61"/>
      <c r="G84" s="61"/>
      <c r="H84" s="61" t="s">
        <v>261</v>
      </c>
      <c r="I84" s="61" t="s">
        <v>73</v>
      </c>
      <c r="J84" s="61" t="s">
        <v>20</v>
      </c>
      <c r="K84" s="61" t="s">
        <v>262</v>
      </c>
      <c r="L84" s="61">
        <v>508384442</v>
      </c>
      <c r="M84" s="61">
        <v>14</v>
      </c>
      <c r="N84" s="61"/>
    </row>
    <row r="85" spans="1:14" ht="23.45" customHeight="1">
      <c r="A85" s="63">
        <v>84</v>
      </c>
      <c r="B85" s="63">
        <v>6678</v>
      </c>
      <c r="C85" s="64" t="s">
        <v>263</v>
      </c>
      <c r="D85" s="63" t="s">
        <v>245</v>
      </c>
      <c r="E85" s="63" t="s">
        <v>16</v>
      </c>
      <c r="F85" s="63" t="s">
        <v>253</v>
      </c>
      <c r="G85" s="63" t="s">
        <v>264</v>
      </c>
      <c r="H85" s="63" t="s">
        <v>253</v>
      </c>
      <c r="I85" s="63" t="s">
        <v>19</v>
      </c>
      <c r="J85" s="63" t="s">
        <v>20</v>
      </c>
      <c r="K85" s="63" t="s">
        <v>265</v>
      </c>
      <c r="L85" s="63">
        <v>504679377</v>
      </c>
      <c r="M85" s="63">
        <v>14</v>
      </c>
      <c r="N85" s="63"/>
    </row>
    <row r="86" spans="1:14" ht="23.45" customHeight="1">
      <c r="A86" s="61">
        <v>85</v>
      </c>
      <c r="B86" s="61">
        <v>10259</v>
      </c>
      <c r="C86" s="62" t="s">
        <v>266</v>
      </c>
      <c r="D86" s="61" t="s">
        <v>245</v>
      </c>
      <c r="E86" s="61" t="s">
        <v>28</v>
      </c>
      <c r="F86" s="61" t="s">
        <v>267</v>
      </c>
      <c r="G86" s="61" t="s">
        <v>30</v>
      </c>
      <c r="H86" s="61" t="s">
        <v>267</v>
      </c>
      <c r="I86" s="61" t="s">
        <v>19</v>
      </c>
      <c r="J86" s="61" t="s">
        <v>20</v>
      </c>
      <c r="K86" s="61" t="s">
        <v>268</v>
      </c>
      <c r="L86" s="61">
        <v>555712324</v>
      </c>
      <c r="M86" s="61">
        <v>14</v>
      </c>
      <c r="N86" s="61"/>
    </row>
    <row r="87" spans="1:14" ht="23.45" customHeight="1">
      <c r="A87" s="63">
        <v>86</v>
      </c>
      <c r="B87" s="63">
        <v>6609</v>
      </c>
      <c r="C87" s="64" t="s">
        <v>269</v>
      </c>
      <c r="D87" s="63" t="s">
        <v>245</v>
      </c>
      <c r="E87" s="63" t="s">
        <v>16</v>
      </c>
      <c r="F87" s="63" t="s">
        <v>270</v>
      </c>
      <c r="G87" s="63" t="s">
        <v>271</v>
      </c>
      <c r="H87" s="63" t="s">
        <v>270</v>
      </c>
      <c r="I87" s="63" t="s">
        <v>19</v>
      </c>
      <c r="J87" s="63" t="s">
        <v>20</v>
      </c>
      <c r="K87" s="63" t="s">
        <v>272</v>
      </c>
      <c r="L87" s="63">
        <v>541626502</v>
      </c>
      <c r="M87" s="63">
        <v>14</v>
      </c>
      <c r="N87" s="63"/>
    </row>
    <row r="88" spans="1:14" ht="23.45" customHeight="1">
      <c r="A88" s="61">
        <v>87</v>
      </c>
      <c r="B88" s="61">
        <v>13699</v>
      </c>
      <c r="C88" s="62" t="s">
        <v>273</v>
      </c>
      <c r="D88" s="61" t="s">
        <v>245</v>
      </c>
      <c r="E88" s="61" t="s">
        <v>28</v>
      </c>
      <c r="F88" s="61" t="s">
        <v>274</v>
      </c>
      <c r="G88" s="61" t="s">
        <v>275</v>
      </c>
      <c r="H88" s="61" t="s">
        <v>274</v>
      </c>
      <c r="I88" s="61" t="s">
        <v>19</v>
      </c>
      <c r="J88" s="61" t="s">
        <v>20</v>
      </c>
      <c r="K88" s="61" t="s">
        <v>276</v>
      </c>
      <c r="L88" s="61">
        <v>534508214</v>
      </c>
      <c r="M88" s="61">
        <v>14</v>
      </c>
      <c r="N88" s="61"/>
    </row>
    <row r="89" spans="1:14" ht="23.45" customHeight="1">
      <c r="A89" s="63">
        <v>88</v>
      </c>
      <c r="B89" s="63">
        <v>7123</v>
      </c>
      <c r="C89" s="64" t="s">
        <v>277</v>
      </c>
      <c r="D89" s="63" t="s">
        <v>245</v>
      </c>
      <c r="E89" s="63" t="s">
        <v>28</v>
      </c>
      <c r="F89" s="63" t="s">
        <v>254</v>
      </c>
      <c r="G89" s="63" t="s">
        <v>30</v>
      </c>
      <c r="H89" s="63" t="s">
        <v>254</v>
      </c>
      <c r="I89" s="63" t="s">
        <v>19</v>
      </c>
      <c r="J89" s="63" t="s">
        <v>20</v>
      </c>
      <c r="K89" s="63" t="s">
        <v>278</v>
      </c>
      <c r="L89" s="63">
        <v>554520692</v>
      </c>
      <c r="M89" s="63">
        <v>14</v>
      </c>
      <c r="N89" s="63"/>
    </row>
    <row r="90" spans="1:14" ht="23.45" customHeight="1">
      <c r="A90" s="61">
        <v>89</v>
      </c>
      <c r="B90" s="61">
        <v>7208</v>
      </c>
      <c r="C90" s="62" t="s">
        <v>279</v>
      </c>
      <c r="D90" s="61" t="s">
        <v>245</v>
      </c>
      <c r="E90" s="61" t="s">
        <v>28</v>
      </c>
      <c r="F90" s="61" t="s">
        <v>280</v>
      </c>
      <c r="G90" s="61" t="s">
        <v>30</v>
      </c>
      <c r="H90" s="61" t="s">
        <v>280</v>
      </c>
      <c r="I90" s="61" t="s">
        <v>19</v>
      </c>
      <c r="J90" s="61" t="s">
        <v>20</v>
      </c>
      <c r="K90" s="61" t="s">
        <v>281</v>
      </c>
      <c r="L90" s="61">
        <v>504649698</v>
      </c>
      <c r="M90" s="61">
        <v>14</v>
      </c>
      <c r="N90" s="61"/>
    </row>
    <row r="91" spans="1:14" ht="23.45" customHeight="1">
      <c r="A91" s="63">
        <v>90</v>
      </c>
      <c r="B91" s="63">
        <v>9033</v>
      </c>
      <c r="C91" s="64" t="s">
        <v>282</v>
      </c>
      <c r="D91" s="63" t="s">
        <v>245</v>
      </c>
      <c r="E91" s="63" t="s">
        <v>16</v>
      </c>
      <c r="F91" s="63" t="s">
        <v>283</v>
      </c>
      <c r="G91" s="63" t="s">
        <v>30</v>
      </c>
      <c r="H91" s="63" t="s">
        <v>283</v>
      </c>
      <c r="I91" s="63" t="s">
        <v>73</v>
      </c>
      <c r="J91" s="63" t="s">
        <v>20</v>
      </c>
      <c r="K91" s="63" t="s">
        <v>284</v>
      </c>
      <c r="L91" s="63">
        <v>544952518</v>
      </c>
      <c r="M91" s="63">
        <v>14</v>
      </c>
      <c r="N91" s="63"/>
    </row>
    <row r="92" spans="1:14" ht="23.45" customHeight="1">
      <c r="A92" s="61">
        <v>91</v>
      </c>
      <c r="B92" s="61">
        <v>9738</v>
      </c>
      <c r="C92" s="62" t="s">
        <v>285</v>
      </c>
      <c r="D92" s="61" t="s">
        <v>245</v>
      </c>
      <c r="E92" s="61" t="s">
        <v>16</v>
      </c>
      <c r="F92" s="61" t="s">
        <v>253</v>
      </c>
      <c r="G92" s="61" t="s">
        <v>286</v>
      </c>
      <c r="H92" s="61" t="s">
        <v>253</v>
      </c>
      <c r="I92" s="61" t="s">
        <v>19</v>
      </c>
      <c r="J92" s="61" t="s">
        <v>20</v>
      </c>
      <c r="K92" s="61" t="s">
        <v>287</v>
      </c>
      <c r="L92" s="61">
        <v>504235807</v>
      </c>
      <c r="M92" s="61">
        <v>14</v>
      </c>
      <c r="N92" s="61"/>
    </row>
    <row r="93" spans="1:14" ht="23.45" customHeight="1">
      <c r="A93" s="63">
        <v>92</v>
      </c>
      <c r="B93" s="63">
        <v>14041</v>
      </c>
      <c r="C93" s="64" t="s">
        <v>288</v>
      </c>
      <c r="D93" s="63" t="s">
        <v>245</v>
      </c>
      <c r="E93" s="63" t="s">
        <v>16</v>
      </c>
      <c r="F93" s="63" t="s">
        <v>289</v>
      </c>
      <c r="G93" s="63" t="s">
        <v>289</v>
      </c>
      <c r="H93" s="63" t="s">
        <v>289</v>
      </c>
      <c r="I93" s="63" t="s">
        <v>55</v>
      </c>
      <c r="J93" s="63" t="s">
        <v>20</v>
      </c>
      <c r="K93" s="63" t="s">
        <v>290</v>
      </c>
      <c r="L93" s="63">
        <v>555549303</v>
      </c>
      <c r="M93" s="63">
        <v>14</v>
      </c>
      <c r="N93" s="63"/>
    </row>
    <row r="94" spans="1:14" ht="23.45" customHeight="1">
      <c r="A94" s="61">
        <v>93</v>
      </c>
      <c r="B94" s="61">
        <v>11800</v>
      </c>
      <c r="C94" s="62" t="s">
        <v>291</v>
      </c>
      <c r="D94" s="61" t="s">
        <v>245</v>
      </c>
      <c r="E94" s="61" t="s">
        <v>16</v>
      </c>
      <c r="F94" s="61" t="s">
        <v>253</v>
      </c>
      <c r="G94" s="61" t="s">
        <v>292</v>
      </c>
      <c r="H94" s="61" t="s">
        <v>253</v>
      </c>
      <c r="I94" s="61" t="s">
        <v>142</v>
      </c>
      <c r="J94" s="61" t="s">
        <v>20</v>
      </c>
      <c r="K94" s="61" t="s">
        <v>293</v>
      </c>
      <c r="L94" s="61">
        <v>505516558</v>
      </c>
      <c r="M94" s="61">
        <v>14</v>
      </c>
      <c r="N94" s="61"/>
    </row>
    <row r="95" spans="1:14" ht="23.45" customHeight="1">
      <c r="A95" s="63">
        <v>94</v>
      </c>
      <c r="B95" s="63">
        <v>16380</v>
      </c>
      <c r="C95" s="64" t="s">
        <v>294</v>
      </c>
      <c r="D95" s="63" t="s">
        <v>245</v>
      </c>
      <c r="E95" s="63" t="s">
        <v>28</v>
      </c>
      <c r="F95" s="63" t="s">
        <v>246</v>
      </c>
      <c r="G95" s="63" t="s">
        <v>295</v>
      </c>
      <c r="H95" s="63" t="s">
        <v>246</v>
      </c>
      <c r="I95" s="63" t="s">
        <v>73</v>
      </c>
      <c r="J95" s="63" t="s">
        <v>20</v>
      </c>
      <c r="K95" s="63" t="s">
        <v>296</v>
      </c>
      <c r="L95" s="63">
        <v>541856688</v>
      </c>
      <c r="M95" s="63">
        <v>14</v>
      </c>
      <c r="N95" s="63"/>
    </row>
    <row r="96" spans="1:14" ht="23.45" customHeight="1">
      <c r="A96" s="61">
        <v>95</v>
      </c>
      <c r="B96" s="61">
        <v>26636</v>
      </c>
      <c r="C96" s="62" t="s">
        <v>297</v>
      </c>
      <c r="D96" s="61" t="s">
        <v>245</v>
      </c>
      <c r="E96" s="61" t="s">
        <v>16</v>
      </c>
      <c r="F96" s="61" t="s">
        <v>298</v>
      </c>
      <c r="G96" s="61" t="s">
        <v>299</v>
      </c>
      <c r="H96" s="61" t="s">
        <v>298</v>
      </c>
      <c r="I96" s="61" t="s">
        <v>73</v>
      </c>
      <c r="J96" s="61" t="s">
        <v>20</v>
      </c>
      <c r="K96" s="61" t="s">
        <v>300</v>
      </c>
      <c r="L96" s="61">
        <v>595839935</v>
      </c>
      <c r="M96" s="61">
        <v>14</v>
      </c>
      <c r="N96" s="61"/>
    </row>
    <row r="97" spans="1:14" ht="23.45" customHeight="1">
      <c r="A97" s="63">
        <v>96</v>
      </c>
      <c r="B97" s="63">
        <v>14582</v>
      </c>
      <c r="C97" s="64" t="s">
        <v>301</v>
      </c>
      <c r="D97" s="63" t="s">
        <v>245</v>
      </c>
      <c r="E97" s="63" t="s">
        <v>28</v>
      </c>
      <c r="F97" s="63" t="s">
        <v>302</v>
      </c>
      <c r="G97" s="63" t="s">
        <v>303</v>
      </c>
      <c r="H97" s="63" t="s">
        <v>302</v>
      </c>
      <c r="I97" s="63" t="s">
        <v>19</v>
      </c>
      <c r="J97" s="63" t="s">
        <v>20</v>
      </c>
      <c r="K97" s="63" t="s">
        <v>304</v>
      </c>
      <c r="L97" s="63">
        <v>555512295</v>
      </c>
      <c r="M97" s="63">
        <v>14</v>
      </c>
      <c r="N97" s="63"/>
    </row>
    <row r="98" spans="1:14" ht="23.45" customHeight="1">
      <c r="A98" s="61">
        <v>97</v>
      </c>
      <c r="B98" s="61">
        <v>15706</v>
      </c>
      <c r="C98" s="62" t="s">
        <v>305</v>
      </c>
      <c r="D98" s="61" t="s">
        <v>245</v>
      </c>
      <c r="E98" s="61" t="s">
        <v>147</v>
      </c>
      <c r="F98" s="61" t="s">
        <v>306</v>
      </c>
      <c r="G98" s="61" t="s">
        <v>30</v>
      </c>
      <c r="H98" s="61" t="s">
        <v>306</v>
      </c>
      <c r="I98" s="61" t="s">
        <v>142</v>
      </c>
      <c r="J98" s="61" t="s">
        <v>20</v>
      </c>
      <c r="K98" s="61" t="s">
        <v>307</v>
      </c>
      <c r="L98" s="61">
        <v>554515047</v>
      </c>
      <c r="M98" s="61">
        <v>14</v>
      </c>
      <c r="N98" s="61"/>
    </row>
    <row r="99" spans="1:14" ht="23.45" customHeight="1">
      <c r="A99" s="63">
        <v>98</v>
      </c>
      <c r="B99" s="63">
        <v>24332</v>
      </c>
      <c r="C99" s="64" t="s">
        <v>308</v>
      </c>
      <c r="D99" s="63" t="s">
        <v>245</v>
      </c>
      <c r="E99" s="63" t="s">
        <v>134</v>
      </c>
      <c r="F99" s="63" t="s">
        <v>246</v>
      </c>
      <c r="G99" s="63" t="s">
        <v>246</v>
      </c>
      <c r="H99" s="63" t="s">
        <v>246</v>
      </c>
      <c r="I99" s="63" t="s">
        <v>55</v>
      </c>
      <c r="J99" s="63" t="s">
        <v>174</v>
      </c>
      <c r="K99" s="63" t="s">
        <v>309</v>
      </c>
      <c r="L99" s="63">
        <v>547714725</v>
      </c>
      <c r="M99" s="63">
        <v>14</v>
      </c>
      <c r="N99" s="63"/>
    </row>
    <row r="100" spans="1:14" ht="23.45" customHeight="1">
      <c r="A100" s="61">
        <v>99</v>
      </c>
      <c r="B100" s="61">
        <v>27249</v>
      </c>
      <c r="C100" s="62" t="s">
        <v>310</v>
      </c>
      <c r="D100" s="61" t="s">
        <v>245</v>
      </c>
      <c r="E100" s="61" t="s">
        <v>16</v>
      </c>
      <c r="F100" s="61" t="s">
        <v>246</v>
      </c>
      <c r="G100" s="61" t="s">
        <v>30</v>
      </c>
      <c r="H100" s="61" t="s">
        <v>246</v>
      </c>
      <c r="I100" s="61" t="s">
        <v>73</v>
      </c>
      <c r="J100" s="61" t="s">
        <v>20</v>
      </c>
      <c r="K100" s="61" t="s">
        <v>311</v>
      </c>
      <c r="L100" s="61">
        <v>561112878</v>
      </c>
      <c r="M100" s="61">
        <v>14</v>
      </c>
      <c r="N100" s="61"/>
    </row>
    <row r="101" spans="1:14" ht="23.45" customHeight="1">
      <c r="A101" s="63">
        <v>100</v>
      </c>
      <c r="B101" s="63">
        <v>9728</v>
      </c>
      <c r="C101" s="64" t="s">
        <v>312</v>
      </c>
      <c r="D101" s="63" t="s">
        <v>245</v>
      </c>
      <c r="E101" s="63" t="s">
        <v>16</v>
      </c>
      <c r="F101" s="63" t="s">
        <v>275</v>
      </c>
      <c r="G101" s="63" t="s">
        <v>275</v>
      </c>
      <c r="H101" s="63" t="s">
        <v>275</v>
      </c>
      <c r="I101" s="63" t="s">
        <v>19</v>
      </c>
      <c r="J101" s="63" t="s">
        <v>20</v>
      </c>
      <c r="K101" s="63" t="s">
        <v>313</v>
      </c>
      <c r="L101" s="63">
        <v>547795744</v>
      </c>
      <c r="M101" s="63">
        <v>14</v>
      </c>
      <c r="N101" s="63"/>
    </row>
    <row r="102" spans="1:14" ht="23.45" customHeight="1">
      <c r="A102" s="61">
        <v>101</v>
      </c>
      <c r="B102" s="61">
        <v>12511</v>
      </c>
      <c r="C102" s="62" t="s">
        <v>314</v>
      </c>
      <c r="D102" s="61" t="s">
        <v>245</v>
      </c>
      <c r="E102" s="61" t="s">
        <v>16</v>
      </c>
      <c r="F102" s="61" t="s">
        <v>253</v>
      </c>
      <c r="G102" s="61" t="s">
        <v>253</v>
      </c>
      <c r="H102" s="61" t="s">
        <v>253</v>
      </c>
      <c r="I102" s="61" t="s">
        <v>19</v>
      </c>
      <c r="J102" s="61" t="s">
        <v>20</v>
      </c>
      <c r="K102" s="61" t="s">
        <v>315</v>
      </c>
      <c r="L102" s="61">
        <v>555591013</v>
      </c>
      <c r="M102" s="61">
        <v>14</v>
      </c>
      <c r="N102" s="61"/>
    </row>
    <row r="103" spans="1:14" ht="23.45" customHeight="1">
      <c r="A103" s="63">
        <v>102</v>
      </c>
      <c r="B103" s="63">
        <v>16378</v>
      </c>
      <c r="C103" s="64" t="s">
        <v>316</v>
      </c>
      <c r="D103" s="63" t="s">
        <v>245</v>
      </c>
      <c r="E103" s="63" t="s">
        <v>16</v>
      </c>
      <c r="F103" s="63" t="s">
        <v>246</v>
      </c>
      <c r="G103" s="63" t="s">
        <v>246</v>
      </c>
      <c r="H103" s="63" t="s">
        <v>246</v>
      </c>
      <c r="I103" s="63" t="s">
        <v>19</v>
      </c>
      <c r="J103" s="63" t="s">
        <v>20</v>
      </c>
      <c r="K103" s="63" t="s">
        <v>317</v>
      </c>
      <c r="L103" s="63">
        <v>540535100</v>
      </c>
      <c r="M103" s="63">
        <v>14</v>
      </c>
      <c r="N103" s="63"/>
    </row>
    <row r="104" spans="1:14" ht="23.45" customHeight="1">
      <c r="A104" s="61">
        <v>103</v>
      </c>
      <c r="B104" s="61">
        <v>14541</v>
      </c>
      <c r="C104" s="62" t="s">
        <v>318</v>
      </c>
      <c r="D104" s="61" t="s">
        <v>245</v>
      </c>
      <c r="E104" s="61" t="s">
        <v>28</v>
      </c>
      <c r="F104" s="61" t="s">
        <v>319</v>
      </c>
      <c r="G104" s="61" t="s">
        <v>30</v>
      </c>
      <c r="H104" s="61" t="s">
        <v>320</v>
      </c>
      <c r="I104" s="61" t="s">
        <v>19</v>
      </c>
      <c r="J104" s="61" t="s">
        <v>20</v>
      </c>
      <c r="K104" s="61" t="s">
        <v>321</v>
      </c>
      <c r="L104" s="61">
        <v>555698944</v>
      </c>
      <c r="M104" s="61">
        <v>14</v>
      </c>
      <c r="N104" s="61"/>
    </row>
    <row r="105" spans="1:14" ht="23.45" customHeight="1">
      <c r="A105" s="63">
        <v>104</v>
      </c>
      <c r="B105" s="63">
        <v>17252</v>
      </c>
      <c r="C105" s="64" t="s">
        <v>322</v>
      </c>
      <c r="D105" s="63" t="s">
        <v>245</v>
      </c>
      <c r="E105" s="63" t="s">
        <v>16</v>
      </c>
      <c r="F105" s="63" t="s">
        <v>246</v>
      </c>
      <c r="G105" s="63" t="s">
        <v>246</v>
      </c>
      <c r="H105" s="63" t="s">
        <v>246</v>
      </c>
      <c r="I105" s="63" t="s">
        <v>19</v>
      </c>
      <c r="J105" s="63" t="s">
        <v>20</v>
      </c>
      <c r="K105" s="63" t="s">
        <v>323</v>
      </c>
      <c r="L105" s="63">
        <v>555560894</v>
      </c>
      <c r="M105" s="63">
        <v>14</v>
      </c>
      <c r="N105" s="63"/>
    </row>
    <row r="106" spans="1:14" ht="23.45" customHeight="1">
      <c r="A106" s="61">
        <v>105</v>
      </c>
      <c r="B106" s="61">
        <v>14958</v>
      </c>
      <c r="C106" s="62" t="s">
        <v>324</v>
      </c>
      <c r="D106" s="61" t="s">
        <v>245</v>
      </c>
      <c r="E106" s="61" t="s">
        <v>16</v>
      </c>
      <c r="F106" s="61" t="s">
        <v>275</v>
      </c>
      <c r="G106" s="61" t="s">
        <v>270</v>
      </c>
      <c r="H106" s="61" t="s">
        <v>275</v>
      </c>
      <c r="I106" s="61" t="s">
        <v>19</v>
      </c>
      <c r="J106" s="61" t="s">
        <v>20</v>
      </c>
      <c r="K106" s="61" t="s">
        <v>325</v>
      </c>
      <c r="L106" s="61">
        <v>555693839</v>
      </c>
      <c r="M106" s="61">
        <v>14</v>
      </c>
      <c r="N106" s="61"/>
    </row>
    <row r="107" spans="1:14" ht="23.45" customHeight="1">
      <c r="A107" s="63">
        <v>106</v>
      </c>
      <c r="B107" s="63">
        <v>14080</v>
      </c>
      <c r="C107" s="64" t="s">
        <v>326</v>
      </c>
      <c r="D107" s="63" t="s">
        <v>245</v>
      </c>
      <c r="E107" s="63" t="s">
        <v>147</v>
      </c>
      <c r="F107" s="63" t="s">
        <v>327</v>
      </c>
      <c r="G107" s="63" t="s">
        <v>328</v>
      </c>
      <c r="H107" s="63" t="s">
        <v>289</v>
      </c>
      <c r="I107" s="63" t="s">
        <v>73</v>
      </c>
      <c r="J107" s="63" t="s">
        <v>20</v>
      </c>
      <c r="K107" s="63" t="s">
        <v>329</v>
      </c>
      <c r="L107" s="63">
        <v>590804451</v>
      </c>
      <c r="M107" s="63">
        <v>14</v>
      </c>
      <c r="N107" s="63"/>
    </row>
    <row r="108" spans="1:14" ht="23.45" customHeight="1">
      <c r="A108" s="61">
        <v>107</v>
      </c>
      <c r="B108" s="61">
        <v>16274</v>
      </c>
      <c r="C108" s="62" t="s">
        <v>330</v>
      </c>
      <c r="D108" s="61" t="s">
        <v>245</v>
      </c>
      <c r="E108" s="61" t="s">
        <v>28</v>
      </c>
      <c r="F108" s="61" t="s">
        <v>253</v>
      </c>
      <c r="G108" s="61" t="s">
        <v>331</v>
      </c>
      <c r="H108" s="61" t="s">
        <v>253</v>
      </c>
      <c r="I108" s="61" t="s">
        <v>19</v>
      </c>
      <c r="J108" s="61" t="s">
        <v>20</v>
      </c>
      <c r="K108" s="61" t="s">
        <v>332</v>
      </c>
      <c r="L108" s="61">
        <v>504542570</v>
      </c>
      <c r="M108" s="61">
        <v>14</v>
      </c>
      <c r="N108" s="61"/>
    </row>
    <row r="109" spans="1:14" ht="23.45" customHeight="1">
      <c r="A109" s="63">
        <v>108</v>
      </c>
      <c r="B109" s="63">
        <v>17722</v>
      </c>
      <c r="C109" s="64" t="s">
        <v>333</v>
      </c>
      <c r="D109" s="63" t="s">
        <v>245</v>
      </c>
      <c r="E109" s="63" t="s">
        <v>16</v>
      </c>
      <c r="F109" s="63" t="s">
        <v>289</v>
      </c>
      <c r="G109" s="63" t="s">
        <v>334</v>
      </c>
      <c r="H109" s="63" t="s">
        <v>289</v>
      </c>
      <c r="I109" s="63" t="s">
        <v>73</v>
      </c>
      <c r="J109" s="63" t="s">
        <v>20</v>
      </c>
      <c r="K109" s="63" t="s">
        <v>335</v>
      </c>
      <c r="L109" s="63">
        <v>502147550</v>
      </c>
      <c r="M109" s="63">
        <v>14</v>
      </c>
      <c r="N109" s="63"/>
    </row>
    <row r="110" spans="1:14" ht="23.45" customHeight="1">
      <c r="A110" s="61">
        <v>109</v>
      </c>
      <c r="B110" s="61">
        <v>14843</v>
      </c>
      <c r="C110" s="62" t="s">
        <v>336</v>
      </c>
      <c r="D110" s="61" t="s">
        <v>245</v>
      </c>
      <c r="E110" s="61" t="s">
        <v>28</v>
      </c>
      <c r="F110" s="61"/>
      <c r="G110" s="61"/>
      <c r="H110" s="61" t="s">
        <v>246</v>
      </c>
      <c r="I110" s="61" t="s">
        <v>55</v>
      </c>
      <c r="J110" s="61" t="s">
        <v>20</v>
      </c>
      <c r="K110" s="61" t="s">
        <v>337</v>
      </c>
      <c r="L110" s="61">
        <v>550605022</v>
      </c>
      <c r="M110" s="61">
        <v>14</v>
      </c>
      <c r="N110" s="61"/>
    </row>
    <row r="111" spans="1:14" ht="23.45" customHeight="1">
      <c r="A111" s="63">
        <v>110</v>
      </c>
      <c r="B111" s="63">
        <v>8610</v>
      </c>
      <c r="C111" s="64" t="s">
        <v>338</v>
      </c>
      <c r="D111" s="63" t="s">
        <v>245</v>
      </c>
      <c r="E111" s="63" t="s">
        <v>147</v>
      </c>
      <c r="F111" s="63" t="s">
        <v>306</v>
      </c>
      <c r="G111" s="63" t="s">
        <v>30</v>
      </c>
      <c r="H111" s="63" t="s">
        <v>306</v>
      </c>
      <c r="I111" s="63" t="s">
        <v>142</v>
      </c>
      <c r="J111" s="63" t="s">
        <v>20</v>
      </c>
      <c r="K111" s="63" t="s">
        <v>339</v>
      </c>
      <c r="L111" s="63">
        <v>554564554</v>
      </c>
      <c r="M111" s="63">
        <v>14</v>
      </c>
      <c r="N111" s="63"/>
    </row>
    <row r="112" spans="1:14" ht="23.45" customHeight="1">
      <c r="A112" s="61">
        <v>111</v>
      </c>
      <c r="B112" s="61">
        <v>10258</v>
      </c>
      <c r="C112" s="62" t="s">
        <v>340</v>
      </c>
      <c r="D112" s="61" t="s">
        <v>245</v>
      </c>
      <c r="E112" s="61" t="s">
        <v>16</v>
      </c>
      <c r="F112" s="61" t="s">
        <v>253</v>
      </c>
      <c r="G112" s="61" t="s">
        <v>270</v>
      </c>
      <c r="H112" s="61" t="s">
        <v>253</v>
      </c>
      <c r="I112" s="61" t="s">
        <v>73</v>
      </c>
      <c r="J112" s="61" t="s">
        <v>20</v>
      </c>
      <c r="K112" s="61" t="s">
        <v>341</v>
      </c>
      <c r="L112" s="61">
        <v>599443363</v>
      </c>
      <c r="M112" s="61">
        <v>14</v>
      </c>
      <c r="N112" s="61"/>
    </row>
    <row r="113" spans="1:14" ht="23.45" customHeight="1">
      <c r="A113" s="63">
        <v>112</v>
      </c>
      <c r="B113" s="63">
        <v>26478</v>
      </c>
      <c r="C113" s="64" t="s">
        <v>342</v>
      </c>
      <c r="D113" s="63" t="s">
        <v>245</v>
      </c>
      <c r="E113" s="63" t="s">
        <v>16</v>
      </c>
      <c r="F113" s="63" t="s">
        <v>343</v>
      </c>
      <c r="G113" s="63" t="s">
        <v>344</v>
      </c>
      <c r="H113" s="63" t="s">
        <v>345</v>
      </c>
      <c r="I113" s="63" t="s">
        <v>73</v>
      </c>
      <c r="J113" s="63" t="s">
        <v>20</v>
      </c>
      <c r="K113" s="63" t="s">
        <v>346</v>
      </c>
      <c r="L113" s="63">
        <v>598866737</v>
      </c>
      <c r="M113" s="63">
        <v>14</v>
      </c>
      <c r="N113" s="63"/>
    </row>
    <row r="114" spans="1:14" ht="23.45" customHeight="1">
      <c r="A114" s="61">
        <v>113</v>
      </c>
      <c r="B114" s="61">
        <v>9223</v>
      </c>
      <c r="C114" s="62" t="s">
        <v>347</v>
      </c>
      <c r="D114" s="61" t="s">
        <v>348</v>
      </c>
      <c r="E114" s="61" t="s">
        <v>28</v>
      </c>
      <c r="F114" s="61" t="s">
        <v>349</v>
      </c>
      <c r="G114" s="61" t="s">
        <v>350</v>
      </c>
      <c r="H114" s="61" t="s">
        <v>349</v>
      </c>
      <c r="I114" s="61" t="s">
        <v>55</v>
      </c>
      <c r="J114" s="61" t="s">
        <v>20</v>
      </c>
      <c r="K114" s="61" t="s">
        <v>351</v>
      </c>
      <c r="L114" s="61">
        <v>568967112</v>
      </c>
      <c r="M114" s="61">
        <v>17</v>
      </c>
      <c r="N114" s="61"/>
    </row>
    <row r="115" spans="1:14" ht="23.45" customHeight="1">
      <c r="A115" s="63">
        <v>114</v>
      </c>
      <c r="B115" s="63">
        <v>6908</v>
      </c>
      <c r="C115" s="64" t="s">
        <v>352</v>
      </c>
      <c r="D115" s="63" t="s">
        <v>348</v>
      </c>
      <c r="E115" s="63" t="s">
        <v>147</v>
      </c>
      <c r="F115" s="63" t="s">
        <v>353</v>
      </c>
      <c r="G115" s="63" t="s">
        <v>354</v>
      </c>
      <c r="H115" s="63" t="s">
        <v>355</v>
      </c>
      <c r="I115" s="63" t="s">
        <v>142</v>
      </c>
      <c r="J115" s="63" t="s">
        <v>20</v>
      </c>
      <c r="K115" s="63" t="s">
        <v>356</v>
      </c>
      <c r="L115" s="63">
        <v>533575708</v>
      </c>
      <c r="M115" s="63">
        <v>17</v>
      </c>
      <c r="N115" s="63"/>
    </row>
    <row r="116" spans="1:14" ht="23.45" customHeight="1">
      <c r="A116" s="61">
        <v>115</v>
      </c>
      <c r="B116" s="61">
        <v>11341</v>
      </c>
      <c r="C116" s="62" t="s">
        <v>357</v>
      </c>
      <c r="D116" s="61" t="s">
        <v>348</v>
      </c>
      <c r="E116" s="61" t="s">
        <v>28</v>
      </c>
      <c r="F116" s="61" t="s">
        <v>358</v>
      </c>
      <c r="G116" s="61" t="s">
        <v>358</v>
      </c>
      <c r="H116" s="61" t="s">
        <v>358</v>
      </c>
      <c r="I116" s="61" t="s">
        <v>55</v>
      </c>
      <c r="J116" s="61" t="s">
        <v>20</v>
      </c>
      <c r="K116" s="61" t="s">
        <v>359</v>
      </c>
      <c r="L116" s="61">
        <v>555595809</v>
      </c>
      <c r="M116" s="61">
        <v>17</v>
      </c>
      <c r="N116" s="61"/>
    </row>
    <row r="117" spans="1:14" ht="23.45" customHeight="1">
      <c r="A117" s="63">
        <v>116</v>
      </c>
      <c r="B117" s="63">
        <v>9769</v>
      </c>
      <c r="C117" s="64" t="s">
        <v>360</v>
      </c>
      <c r="D117" s="63" t="s">
        <v>348</v>
      </c>
      <c r="E117" s="63" t="s">
        <v>16</v>
      </c>
      <c r="F117" s="63" t="s">
        <v>361</v>
      </c>
      <c r="G117" s="63" t="s">
        <v>362</v>
      </c>
      <c r="H117" s="63" t="s">
        <v>358</v>
      </c>
      <c r="I117" s="63" t="s">
        <v>73</v>
      </c>
      <c r="J117" s="63" t="s">
        <v>20</v>
      </c>
      <c r="K117" s="63" t="s">
        <v>363</v>
      </c>
      <c r="L117" s="63">
        <v>558787765</v>
      </c>
      <c r="M117" s="63">
        <v>17</v>
      </c>
      <c r="N117" s="63"/>
    </row>
    <row r="118" spans="1:14" ht="23.45" customHeight="1">
      <c r="A118" s="61">
        <v>117</v>
      </c>
      <c r="B118" s="61">
        <v>16253</v>
      </c>
      <c r="C118" s="62" t="s">
        <v>364</v>
      </c>
      <c r="D118" s="61" t="s">
        <v>348</v>
      </c>
      <c r="E118" s="61" t="s">
        <v>16</v>
      </c>
      <c r="F118" s="61" t="s">
        <v>365</v>
      </c>
      <c r="G118" s="61" t="s">
        <v>365</v>
      </c>
      <c r="H118" s="61" t="s">
        <v>365</v>
      </c>
      <c r="I118" s="61" t="s">
        <v>19</v>
      </c>
      <c r="J118" s="61" t="s">
        <v>20</v>
      </c>
      <c r="K118" s="61" t="s">
        <v>366</v>
      </c>
      <c r="L118" s="61">
        <v>566200501</v>
      </c>
      <c r="M118" s="61">
        <v>17</v>
      </c>
      <c r="N118" s="61"/>
    </row>
    <row r="119" spans="1:14" ht="23.45" customHeight="1">
      <c r="A119" s="63">
        <v>118</v>
      </c>
      <c r="B119" s="63">
        <v>15547</v>
      </c>
      <c r="C119" s="64" t="s">
        <v>367</v>
      </c>
      <c r="D119" s="63" t="s">
        <v>348</v>
      </c>
      <c r="E119" s="63" t="s">
        <v>16</v>
      </c>
      <c r="F119" s="63" t="s">
        <v>368</v>
      </c>
      <c r="G119" s="63" t="s">
        <v>355</v>
      </c>
      <c r="H119" s="63" t="s">
        <v>355</v>
      </c>
      <c r="I119" s="63" t="s">
        <v>73</v>
      </c>
      <c r="J119" s="63" t="s">
        <v>20</v>
      </c>
      <c r="K119" s="63" t="s">
        <v>369</v>
      </c>
      <c r="L119" s="63">
        <v>550138754</v>
      </c>
      <c r="M119" s="63">
        <v>17</v>
      </c>
      <c r="N119" s="63"/>
    </row>
    <row r="120" spans="1:14" ht="23.45" customHeight="1">
      <c r="A120" s="61">
        <v>119</v>
      </c>
      <c r="B120" s="61">
        <v>12743</v>
      </c>
      <c r="C120" s="62" t="s">
        <v>370</v>
      </c>
      <c r="D120" s="61" t="s">
        <v>348</v>
      </c>
      <c r="E120" s="61" t="s">
        <v>28</v>
      </c>
      <c r="F120" s="61" t="s">
        <v>358</v>
      </c>
      <c r="G120" s="61" t="s">
        <v>358</v>
      </c>
      <c r="H120" s="61" t="s">
        <v>358</v>
      </c>
      <c r="I120" s="61" t="s">
        <v>55</v>
      </c>
      <c r="J120" s="61" t="s">
        <v>20</v>
      </c>
      <c r="K120" s="61" t="s">
        <v>371</v>
      </c>
      <c r="L120" s="61">
        <v>504649517</v>
      </c>
      <c r="M120" s="61">
        <v>17</v>
      </c>
      <c r="N120" s="61"/>
    </row>
    <row r="121" spans="1:14" ht="23.45" customHeight="1">
      <c r="A121" s="63">
        <v>120</v>
      </c>
      <c r="B121" s="63">
        <v>16128</v>
      </c>
      <c r="C121" s="64" t="s">
        <v>372</v>
      </c>
      <c r="D121" s="63" t="s">
        <v>348</v>
      </c>
      <c r="E121" s="63" t="s">
        <v>28</v>
      </c>
      <c r="F121" s="63" t="s">
        <v>373</v>
      </c>
      <c r="G121" s="63" t="s">
        <v>374</v>
      </c>
      <c r="H121" s="63" t="s">
        <v>374</v>
      </c>
      <c r="I121" s="63" t="s">
        <v>19</v>
      </c>
      <c r="J121" s="63" t="s">
        <v>20</v>
      </c>
      <c r="K121" s="63" t="s">
        <v>375</v>
      </c>
      <c r="L121" s="63">
        <v>550786666</v>
      </c>
      <c r="M121" s="63">
        <v>17</v>
      </c>
      <c r="N121" s="63"/>
    </row>
    <row r="122" spans="1:14" ht="23.45" customHeight="1">
      <c r="A122" s="61">
        <v>121</v>
      </c>
      <c r="B122" s="61">
        <v>15605</v>
      </c>
      <c r="C122" s="62" t="s">
        <v>376</v>
      </c>
      <c r="D122" s="61" t="s">
        <v>348</v>
      </c>
      <c r="E122" s="61" t="s">
        <v>28</v>
      </c>
      <c r="F122" s="61" t="s">
        <v>361</v>
      </c>
      <c r="G122" s="61" t="s">
        <v>361</v>
      </c>
      <c r="H122" s="61" t="s">
        <v>358</v>
      </c>
      <c r="I122" s="61" t="s">
        <v>19</v>
      </c>
      <c r="J122" s="61" t="s">
        <v>20</v>
      </c>
      <c r="K122" s="61" t="s">
        <v>377</v>
      </c>
      <c r="L122" s="61">
        <v>568680909</v>
      </c>
      <c r="M122" s="61">
        <v>17</v>
      </c>
      <c r="N122" s="61"/>
    </row>
    <row r="123" spans="1:14" ht="23.45" customHeight="1">
      <c r="A123" s="63">
        <v>122</v>
      </c>
      <c r="B123" s="63">
        <v>17120</v>
      </c>
      <c r="C123" s="64" t="s">
        <v>378</v>
      </c>
      <c r="D123" s="63" t="s">
        <v>348</v>
      </c>
      <c r="E123" s="63" t="s">
        <v>28</v>
      </c>
      <c r="F123" s="63" t="s">
        <v>361</v>
      </c>
      <c r="G123" s="63" t="s">
        <v>361</v>
      </c>
      <c r="H123" s="63" t="s">
        <v>358</v>
      </c>
      <c r="I123" s="63" t="s">
        <v>19</v>
      </c>
      <c r="J123" s="63" t="s">
        <v>20</v>
      </c>
      <c r="K123" s="63" t="s">
        <v>379</v>
      </c>
      <c r="L123" s="63">
        <v>544676778</v>
      </c>
      <c r="M123" s="63">
        <v>17</v>
      </c>
      <c r="N123" s="63"/>
    </row>
    <row r="124" spans="1:14" ht="23.45" customHeight="1">
      <c r="A124" s="61">
        <v>123</v>
      </c>
      <c r="B124" s="61">
        <v>8335</v>
      </c>
      <c r="C124" s="62" t="s">
        <v>380</v>
      </c>
      <c r="D124" s="61" t="s">
        <v>348</v>
      </c>
      <c r="E124" s="61" t="s">
        <v>16</v>
      </c>
      <c r="F124" s="61" t="s">
        <v>381</v>
      </c>
      <c r="G124" s="61" t="s">
        <v>381</v>
      </c>
      <c r="H124" s="61" t="s">
        <v>381</v>
      </c>
      <c r="I124" s="61" t="s">
        <v>19</v>
      </c>
      <c r="J124" s="61" t="s">
        <v>20</v>
      </c>
      <c r="K124" s="61" t="s">
        <v>382</v>
      </c>
      <c r="L124" s="61">
        <v>566665569</v>
      </c>
      <c r="M124" s="61">
        <v>17</v>
      </c>
      <c r="N124" s="61"/>
    </row>
    <row r="125" spans="1:14" ht="23.45" customHeight="1">
      <c r="A125" s="63">
        <v>124</v>
      </c>
      <c r="B125" s="63">
        <v>18133</v>
      </c>
      <c r="C125" s="64" t="s">
        <v>383</v>
      </c>
      <c r="D125" s="63" t="s">
        <v>348</v>
      </c>
      <c r="E125" s="63" t="s">
        <v>28</v>
      </c>
      <c r="F125" s="63" t="s">
        <v>384</v>
      </c>
      <c r="G125" s="63" t="s">
        <v>384</v>
      </c>
      <c r="H125" s="63" t="s">
        <v>384</v>
      </c>
      <c r="I125" s="63" t="s">
        <v>19</v>
      </c>
      <c r="J125" s="63" t="s">
        <v>20</v>
      </c>
      <c r="K125" s="63" t="s">
        <v>385</v>
      </c>
      <c r="L125" s="63">
        <v>568800376</v>
      </c>
      <c r="M125" s="63">
        <v>17</v>
      </c>
      <c r="N125" s="63"/>
    </row>
    <row r="126" spans="1:14" ht="23.45" customHeight="1">
      <c r="A126" s="61">
        <v>125</v>
      </c>
      <c r="B126" s="61">
        <v>11110</v>
      </c>
      <c r="C126" s="62" t="s">
        <v>386</v>
      </c>
      <c r="D126" s="61" t="s">
        <v>348</v>
      </c>
      <c r="E126" s="61" t="s">
        <v>16</v>
      </c>
      <c r="F126" s="61" t="s">
        <v>387</v>
      </c>
      <c r="G126" s="61" t="s">
        <v>388</v>
      </c>
      <c r="H126" s="61" t="s">
        <v>381</v>
      </c>
      <c r="I126" s="61" t="s">
        <v>73</v>
      </c>
      <c r="J126" s="61" t="s">
        <v>20</v>
      </c>
      <c r="K126" s="61" t="s">
        <v>389</v>
      </c>
      <c r="L126" s="61">
        <v>553606573</v>
      </c>
      <c r="M126" s="61">
        <v>17</v>
      </c>
      <c r="N126" s="61"/>
    </row>
    <row r="127" spans="1:14" ht="23.45" customHeight="1">
      <c r="A127" s="63">
        <v>126</v>
      </c>
      <c r="B127" s="63">
        <v>16985</v>
      </c>
      <c r="C127" s="64" t="s">
        <v>390</v>
      </c>
      <c r="D127" s="63" t="s">
        <v>348</v>
      </c>
      <c r="E127" s="63" t="s">
        <v>28</v>
      </c>
      <c r="F127" s="63" t="s">
        <v>361</v>
      </c>
      <c r="G127" s="63" t="s">
        <v>361</v>
      </c>
      <c r="H127" s="63" t="s">
        <v>358</v>
      </c>
      <c r="I127" s="63" t="s">
        <v>19</v>
      </c>
      <c r="J127" s="63" t="s">
        <v>20</v>
      </c>
      <c r="K127" s="63" t="s">
        <v>391</v>
      </c>
      <c r="L127" s="63">
        <v>555670767</v>
      </c>
      <c r="M127" s="63">
        <v>17</v>
      </c>
      <c r="N127" s="63"/>
    </row>
    <row r="128" spans="1:14" ht="23.45" customHeight="1">
      <c r="A128" s="61">
        <v>127</v>
      </c>
      <c r="B128" s="61">
        <v>19657</v>
      </c>
      <c r="C128" s="62" t="s">
        <v>392</v>
      </c>
      <c r="D128" s="61" t="s">
        <v>348</v>
      </c>
      <c r="E128" s="61" t="s">
        <v>16</v>
      </c>
      <c r="F128" s="61" t="s">
        <v>393</v>
      </c>
      <c r="G128" s="61" t="s">
        <v>393</v>
      </c>
      <c r="H128" s="61" t="s">
        <v>365</v>
      </c>
      <c r="I128" s="61" t="s">
        <v>19</v>
      </c>
      <c r="J128" s="61" t="s">
        <v>20</v>
      </c>
      <c r="K128" s="61" t="s">
        <v>394</v>
      </c>
      <c r="L128" s="61">
        <v>500509114</v>
      </c>
      <c r="M128" s="61">
        <v>17</v>
      </c>
      <c r="N128" s="61"/>
    </row>
    <row r="129" spans="1:14" ht="23.45" customHeight="1">
      <c r="A129" s="63">
        <v>128</v>
      </c>
      <c r="B129" s="63">
        <v>11734</v>
      </c>
      <c r="C129" s="64" t="s">
        <v>395</v>
      </c>
      <c r="D129" s="63" t="s">
        <v>348</v>
      </c>
      <c r="E129" s="63" t="s">
        <v>16</v>
      </c>
      <c r="F129" s="63" t="s">
        <v>393</v>
      </c>
      <c r="G129" s="63" t="s">
        <v>396</v>
      </c>
      <c r="H129" s="63" t="s">
        <v>365</v>
      </c>
      <c r="I129" s="63" t="s">
        <v>19</v>
      </c>
      <c r="J129" s="63" t="s">
        <v>20</v>
      </c>
      <c r="K129" s="63" t="s">
        <v>397</v>
      </c>
      <c r="L129" s="63">
        <v>555550957</v>
      </c>
      <c r="M129" s="63">
        <v>17</v>
      </c>
      <c r="N129" s="63"/>
    </row>
    <row r="130" spans="1:14" ht="23.45" customHeight="1">
      <c r="A130" s="61">
        <v>129</v>
      </c>
      <c r="B130" s="61">
        <v>13952</v>
      </c>
      <c r="C130" s="62" t="s">
        <v>398</v>
      </c>
      <c r="D130" s="61" t="s">
        <v>348</v>
      </c>
      <c r="E130" s="61" t="s">
        <v>28</v>
      </c>
      <c r="F130" s="61" t="s">
        <v>358</v>
      </c>
      <c r="G130" s="61"/>
      <c r="H130" s="61" t="s">
        <v>358</v>
      </c>
      <c r="I130" s="61" t="s">
        <v>19</v>
      </c>
      <c r="J130" s="61" t="s">
        <v>20</v>
      </c>
      <c r="K130" s="61" t="s">
        <v>399</v>
      </c>
      <c r="L130" s="61">
        <v>555535429</v>
      </c>
      <c r="M130" s="61">
        <v>17</v>
      </c>
      <c r="N130" s="61"/>
    </row>
    <row r="131" spans="1:14" ht="23.45" customHeight="1">
      <c r="A131" s="63">
        <v>130</v>
      </c>
      <c r="B131" s="63">
        <v>6406</v>
      </c>
      <c r="C131" s="64" t="s">
        <v>400</v>
      </c>
      <c r="D131" s="63" t="s">
        <v>348</v>
      </c>
      <c r="E131" s="63" t="s">
        <v>28</v>
      </c>
      <c r="F131" s="63" t="s">
        <v>355</v>
      </c>
      <c r="G131" s="63" t="s">
        <v>396</v>
      </c>
      <c r="H131" s="63" t="s">
        <v>355</v>
      </c>
      <c r="I131" s="63" t="s">
        <v>55</v>
      </c>
      <c r="J131" s="63" t="s">
        <v>20</v>
      </c>
      <c r="K131" s="63" t="s">
        <v>401</v>
      </c>
      <c r="L131" s="63">
        <v>599988800</v>
      </c>
      <c r="M131" s="63">
        <v>17</v>
      </c>
      <c r="N131" s="63"/>
    </row>
    <row r="132" spans="1:14" ht="23.45" customHeight="1">
      <c r="A132" s="61">
        <v>131</v>
      </c>
      <c r="B132" s="61">
        <v>11485</v>
      </c>
      <c r="C132" s="62" t="s">
        <v>402</v>
      </c>
      <c r="D132" s="61" t="s">
        <v>348</v>
      </c>
      <c r="E132" s="61" t="s">
        <v>16</v>
      </c>
      <c r="F132" s="61" t="s">
        <v>393</v>
      </c>
      <c r="G132" s="61" t="s">
        <v>365</v>
      </c>
      <c r="H132" s="61" t="s">
        <v>365</v>
      </c>
      <c r="I132" s="61" t="s">
        <v>19</v>
      </c>
      <c r="J132" s="61" t="s">
        <v>20</v>
      </c>
      <c r="K132" s="61" t="s">
        <v>403</v>
      </c>
      <c r="L132" s="61">
        <v>504677939</v>
      </c>
      <c r="M132" s="61">
        <v>17</v>
      </c>
      <c r="N132" s="61"/>
    </row>
    <row r="133" spans="1:14" ht="23.45" customHeight="1">
      <c r="A133" s="63">
        <v>132</v>
      </c>
      <c r="B133" s="63">
        <v>1844</v>
      </c>
      <c r="C133" s="64" t="s">
        <v>404</v>
      </c>
      <c r="D133" s="63" t="s">
        <v>348</v>
      </c>
      <c r="E133" s="63" t="s">
        <v>28</v>
      </c>
      <c r="F133" s="63" t="s">
        <v>358</v>
      </c>
      <c r="G133" s="63" t="s">
        <v>396</v>
      </c>
      <c r="H133" s="63" t="s">
        <v>358</v>
      </c>
      <c r="I133" s="63" t="s">
        <v>19</v>
      </c>
      <c r="J133" s="63" t="s">
        <v>20</v>
      </c>
      <c r="K133" s="63" t="s">
        <v>405</v>
      </c>
      <c r="L133" s="63">
        <v>556631617</v>
      </c>
      <c r="M133" s="63">
        <v>17</v>
      </c>
      <c r="N133" s="63"/>
    </row>
    <row r="134" spans="1:14" ht="23.45" customHeight="1">
      <c r="A134" s="61">
        <v>133</v>
      </c>
      <c r="B134" s="61">
        <v>12904</v>
      </c>
      <c r="C134" s="62" t="s">
        <v>406</v>
      </c>
      <c r="D134" s="61" t="s">
        <v>348</v>
      </c>
      <c r="E134" s="61" t="s">
        <v>16</v>
      </c>
      <c r="F134" s="61" t="s">
        <v>358</v>
      </c>
      <c r="G134" s="61" t="s">
        <v>407</v>
      </c>
      <c r="H134" s="61" t="s">
        <v>358</v>
      </c>
      <c r="I134" s="61" t="s">
        <v>19</v>
      </c>
      <c r="J134" s="61" t="s">
        <v>20</v>
      </c>
      <c r="K134" s="61" t="s">
        <v>408</v>
      </c>
      <c r="L134" s="61">
        <v>503664464</v>
      </c>
      <c r="M134" s="61">
        <v>17</v>
      </c>
      <c r="N134" s="61"/>
    </row>
    <row r="135" spans="1:14" ht="23.45" customHeight="1">
      <c r="A135" s="63">
        <v>134</v>
      </c>
      <c r="B135" s="63">
        <v>8428</v>
      </c>
      <c r="C135" s="64" t="s">
        <v>409</v>
      </c>
      <c r="D135" s="63" t="s">
        <v>348</v>
      </c>
      <c r="E135" s="63" t="s">
        <v>16</v>
      </c>
      <c r="F135" s="63" t="s">
        <v>368</v>
      </c>
      <c r="G135" s="63" t="s">
        <v>410</v>
      </c>
      <c r="H135" s="63" t="s">
        <v>355</v>
      </c>
      <c r="I135" s="63" t="s">
        <v>19</v>
      </c>
      <c r="J135" s="63" t="s">
        <v>20</v>
      </c>
      <c r="K135" s="63" t="s">
        <v>411</v>
      </c>
      <c r="L135" s="63">
        <v>565500100</v>
      </c>
      <c r="M135" s="63">
        <v>17</v>
      </c>
      <c r="N135" s="63"/>
    </row>
    <row r="136" spans="1:14" ht="23.45" customHeight="1">
      <c r="A136" s="61">
        <v>135</v>
      </c>
      <c r="B136" s="61">
        <v>15136</v>
      </c>
      <c r="C136" s="62" t="s">
        <v>412</v>
      </c>
      <c r="D136" s="61" t="s">
        <v>348</v>
      </c>
      <c r="E136" s="61" t="s">
        <v>28</v>
      </c>
      <c r="F136" s="61" t="s">
        <v>413</v>
      </c>
      <c r="G136" s="61" t="s">
        <v>396</v>
      </c>
      <c r="H136" s="61" t="s">
        <v>413</v>
      </c>
      <c r="I136" s="61" t="s">
        <v>19</v>
      </c>
      <c r="J136" s="61" t="s">
        <v>20</v>
      </c>
      <c r="K136" s="61" t="s">
        <v>414</v>
      </c>
      <c r="L136" s="61">
        <v>554380819</v>
      </c>
      <c r="M136" s="61">
        <v>17</v>
      </c>
      <c r="N136" s="61"/>
    </row>
    <row r="137" spans="1:14" ht="23.45" customHeight="1">
      <c r="A137" s="63">
        <v>136</v>
      </c>
      <c r="B137" s="63">
        <v>14482</v>
      </c>
      <c r="C137" s="64" t="s">
        <v>415</v>
      </c>
      <c r="D137" s="63" t="s">
        <v>348</v>
      </c>
      <c r="E137" s="63" t="s">
        <v>16</v>
      </c>
      <c r="F137" s="63" t="s">
        <v>365</v>
      </c>
      <c r="G137" s="63" t="s">
        <v>348</v>
      </c>
      <c r="H137" s="63" t="s">
        <v>365</v>
      </c>
      <c r="I137" s="63" t="s">
        <v>19</v>
      </c>
      <c r="J137" s="63" t="s">
        <v>20</v>
      </c>
      <c r="K137" s="63" t="s">
        <v>416</v>
      </c>
      <c r="L137" s="63">
        <v>557717851</v>
      </c>
      <c r="M137" s="63">
        <v>17</v>
      </c>
      <c r="N137" s="63"/>
    </row>
    <row r="138" spans="1:14" ht="23.45" customHeight="1">
      <c r="A138" s="61">
        <v>137</v>
      </c>
      <c r="B138" s="61">
        <v>8425</v>
      </c>
      <c r="C138" s="62" t="s">
        <v>417</v>
      </c>
      <c r="D138" s="61" t="s">
        <v>348</v>
      </c>
      <c r="E138" s="61" t="s">
        <v>16</v>
      </c>
      <c r="F138" s="61" t="s">
        <v>361</v>
      </c>
      <c r="G138" s="61" t="s">
        <v>418</v>
      </c>
      <c r="H138" s="61" t="s">
        <v>358</v>
      </c>
      <c r="I138" s="61" t="s">
        <v>19</v>
      </c>
      <c r="J138" s="61" t="s">
        <v>20</v>
      </c>
      <c r="K138" s="61" t="s">
        <v>419</v>
      </c>
      <c r="L138" s="61">
        <v>503635675</v>
      </c>
      <c r="M138" s="61">
        <v>17</v>
      </c>
      <c r="N138" s="61"/>
    </row>
    <row r="139" spans="1:14" ht="23.45" customHeight="1">
      <c r="A139" s="63">
        <v>138</v>
      </c>
      <c r="B139" s="63">
        <v>5687</v>
      </c>
      <c r="C139" s="64" t="s">
        <v>420</v>
      </c>
      <c r="D139" s="63" t="s">
        <v>348</v>
      </c>
      <c r="E139" s="63" t="s">
        <v>28</v>
      </c>
      <c r="F139" s="63" t="s">
        <v>421</v>
      </c>
      <c r="G139" s="63" t="s">
        <v>396</v>
      </c>
      <c r="H139" s="63" t="s">
        <v>422</v>
      </c>
      <c r="I139" s="63" t="s">
        <v>19</v>
      </c>
      <c r="J139" s="63" t="s">
        <v>20</v>
      </c>
      <c r="K139" s="63" t="s">
        <v>423</v>
      </c>
      <c r="L139" s="63">
        <v>505707840</v>
      </c>
      <c r="M139" s="63">
        <v>17</v>
      </c>
      <c r="N139" s="63"/>
    </row>
    <row r="140" spans="1:14" ht="23.45" customHeight="1">
      <c r="A140" s="61">
        <v>139</v>
      </c>
      <c r="B140" s="61">
        <v>12762</v>
      </c>
      <c r="C140" s="62" t="s">
        <v>424</v>
      </c>
      <c r="D140" s="61" t="s">
        <v>348</v>
      </c>
      <c r="E140" s="61" t="s">
        <v>28</v>
      </c>
      <c r="F140" s="61" t="s">
        <v>361</v>
      </c>
      <c r="G140" s="61" t="s">
        <v>396</v>
      </c>
      <c r="H140" s="61" t="s">
        <v>358</v>
      </c>
      <c r="I140" s="61" t="s">
        <v>19</v>
      </c>
      <c r="J140" s="61" t="s">
        <v>20</v>
      </c>
      <c r="K140" s="61" t="s">
        <v>425</v>
      </c>
      <c r="L140" s="61">
        <v>555507348</v>
      </c>
      <c r="M140" s="61">
        <v>17</v>
      </c>
      <c r="N140" s="61"/>
    </row>
    <row r="141" spans="1:14" ht="23.45" customHeight="1">
      <c r="A141" s="63">
        <v>140</v>
      </c>
      <c r="B141" s="63">
        <v>9161</v>
      </c>
      <c r="C141" s="64" t="s">
        <v>426</v>
      </c>
      <c r="D141" s="63" t="s">
        <v>348</v>
      </c>
      <c r="E141" s="63" t="s">
        <v>16</v>
      </c>
      <c r="F141" s="63" t="s">
        <v>358</v>
      </c>
      <c r="G141" s="63" t="s">
        <v>358</v>
      </c>
      <c r="H141" s="63" t="s">
        <v>358</v>
      </c>
      <c r="I141" s="63" t="s">
        <v>19</v>
      </c>
      <c r="J141" s="63" t="s">
        <v>20</v>
      </c>
      <c r="K141" s="63" t="s">
        <v>427</v>
      </c>
      <c r="L141" s="63">
        <v>598028760</v>
      </c>
      <c r="M141" s="63">
        <v>17</v>
      </c>
      <c r="N141" s="63"/>
    </row>
    <row r="142" spans="1:14" ht="23.45" customHeight="1">
      <c r="A142" s="61">
        <v>141</v>
      </c>
      <c r="B142" s="61">
        <v>13961</v>
      </c>
      <c r="C142" s="62" t="s">
        <v>428</v>
      </c>
      <c r="D142" s="61" t="s">
        <v>348</v>
      </c>
      <c r="E142" s="61" t="s">
        <v>28</v>
      </c>
      <c r="F142" s="61" t="s">
        <v>374</v>
      </c>
      <c r="G142" s="61" t="s">
        <v>396</v>
      </c>
      <c r="H142" s="61" t="s">
        <v>374</v>
      </c>
      <c r="I142" s="61" t="s">
        <v>55</v>
      </c>
      <c r="J142" s="61" t="s">
        <v>20</v>
      </c>
      <c r="K142" s="61" t="s">
        <v>429</v>
      </c>
      <c r="L142" s="61">
        <v>503528973</v>
      </c>
      <c r="M142" s="61">
        <v>17</v>
      </c>
      <c r="N142" s="61"/>
    </row>
    <row r="143" spans="1:14" ht="23.45" customHeight="1">
      <c r="A143" s="63">
        <v>142</v>
      </c>
      <c r="B143" s="63">
        <v>14057</v>
      </c>
      <c r="C143" s="64" t="s">
        <v>430</v>
      </c>
      <c r="D143" s="63" t="s">
        <v>348</v>
      </c>
      <c r="E143" s="63" t="s">
        <v>28</v>
      </c>
      <c r="F143" s="63" t="s">
        <v>358</v>
      </c>
      <c r="G143" s="63" t="s">
        <v>396</v>
      </c>
      <c r="H143" s="63" t="s">
        <v>358</v>
      </c>
      <c r="I143" s="63" t="s">
        <v>19</v>
      </c>
      <c r="J143" s="63" t="s">
        <v>20</v>
      </c>
      <c r="K143" s="63" t="s">
        <v>431</v>
      </c>
      <c r="L143" s="63">
        <v>553532328</v>
      </c>
      <c r="M143" s="63">
        <v>17</v>
      </c>
      <c r="N143" s="63"/>
    </row>
    <row r="144" spans="1:14" ht="23.45" customHeight="1">
      <c r="A144" s="61">
        <v>143</v>
      </c>
      <c r="B144" s="61">
        <v>2145</v>
      </c>
      <c r="C144" s="62" t="s">
        <v>432</v>
      </c>
      <c r="D144" s="61" t="s">
        <v>348</v>
      </c>
      <c r="E144" s="61" t="s">
        <v>28</v>
      </c>
      <c r="F144" s="61" t="s">
        <v>433</v>
      </c>
      <c r="G144" s="61" t="s">
        <v>434</v>
      </c>
      <c r="H144" s="61" t="s">
        <v>433</v>
      </c>
      <c r="I144" s="61" t="s">
        <v>19</v>
      </c>
      <c r="J144" s="61" t="s">
        <v>20</v>
      </c>
      <c r="K144" s="61" t="s">
        <v>435</v>
      </c>
      <c r="L144" s="61">
        <v>554668847</v>
      </c>
      <c r="M144" s="61">
        <v>17</v>
      </c>
      <c r="N144" s="61"/>
    </row>
    <row r="145" spans="1:14" ht="23.45" customHeight="1">
      <c r="A145" s="63">
        <v>144</v>
      </c>
      <c r="B145" s="63">
        <v>8437</v>
      </c>
      <c r="C145" s="64" t="s">
        <v>436</v>
      </c>
      <c r="D145" s="63" t="s">
        <v>348</v>
      </c>
      <c r="E145" s="63" t="s">
        <v>16</v>
      </c>
      <c r="F145" s="63" t="s">
        <v>381</v>
      </c>
      <c r="G145" s="63" t="s">
        <v>361</v>
      </c>
      <c r="H145" s="63" t="s">
        <v>381</v>
      </c>
      <c r="I145" s="63" t="s">
        <v>19</v>
      </c>
      <c r="J145" s="63" t="s">
        <v>20</v>
      </c>
      <c r="K145" s="63" t="s">
        <v>437</v>
      </c>
      <c r="L145" s="63">
        <v>555616631</v>
      </c>
      <c r="M145" s="63">
        <v>17</v>
      </c>
      <c r="N145" s="63"/>
    </row>
    <row r="146" spans="1:14" ht="23.45" customHeight="1">
      <c r="A146" s="61">
        <v>145</v>
      </c>
      <c r="B146" s="61">
        <v>24162</v>
      </c>
      <c r="C146" s="62" t="s">
        <v>438</v>
      </c>
      <c r="D146" s="61" t="s">
        <v>348</v>
      </c>
      <c r="E146" s="61" t="s">
        <v>28</v>
      </c>
      <c r="F146" s="61" t="s">
        <v>439</v>
      </c>
      <c r="G146" s="61" t="s">
        <v>440</v>
      </c>
      <c r="H146" s="61" t="s">
        <v>440</v>
      </c>
      <c r="I146" s="61" t="s">
        <v>19</v>
      </c>
      <c r="J146" s="61" t="s">
        <v>20</v>
      </c>
      <c r="K146" s="61" t="s">
        <v>441</v>
      </c>
      <c r="L146" s="61">
        <v>543361985</v>
      </c>
      <c r="M146" s="61">
        <v>17</v>
      </c>
      <c r="N146" s="61"/>
    </row>
    <row r="147" spans="1:14" ht="23.45" customHeight="1">
      <c r="A147" s="63">
        <v>146</v>
      </c>
      <c r="B147" s="63">
        <v>14560</v>
      </c>
      <c r="C147" s="64" t="s">
        <v>442</v>
      </c>
      <c r="D147" s="63" t="s">
        <v>348</v>
      </c>
      <c r="E147" s="63" t="s">
        <v>16</v>
      </c>
      <c r="F147" s="63" t="s">
        <v>354</v>
      </c>
      <c r="G147" s="63" t="s">
        <v>354</v>
      </c>
      <c r="H147" s="63" t="s">
        <v>354</v>
      </c>
      <c r="I147" s="63" t="s">
        <v>142</v>
      </c>
      <c r="J147" s="63" t="s">
        <v>20</v>
      </c>
      <c r="K147" s="63" t="s">
        <v>443</v>
      </c>
      <c r="L147" s="63">
        <v>504675531</v>
      </c>
      <c r="M147" s="63">
        <v>17</v>
      </c>
      <c r="N147" s="63"/>
    </row>
    <row r="148" spans="1:14" ht="23.45" customHeight="1">
      <c r="A148" s="61">
        <v>147</v>
      </c>
      <c r="B148" s="61">
        <v>9259</v>
      </c>
      <c r="C148" s="62" t="s">
        <v>444</v>
      </c>
      <c r="D148" s="61" t="s">
        <v>348</v>
      </c>
      <c r="E148" s="61" t="s">
        <v>28</v>
      </c>
      <c r="F148" s="61" t="s">
        <v>445</v>
      </c>
      <c r="G148" s="61" t="s">
        <v>396</v>
      </c>
      <c r="H148" s="61" t="s">
        <v>445</v>
      </c>
      <c r="I148" s="61" t="s">
        <v>19</v>
      </c>
      <c r="J148" s="61" t="s">
        <v>20</v>
      </c>
      <c r="K148" s="61" t="s">
        <v>446</v>
      </c>
      <c r="L148" s="61">
        <v>599994947</v>
      </c>
      <c r="M148" s="61">
        <v>17</v>
      </c>
      <c r="N148" s="61"/>
    </row>
    <row r="149" spans="1:14" ht="23.45" customHeight="1">
      <c r="A149" s="63">
        <v>148</v>
      </c>
      <c r="B149" s="63">
        <v>12734</v>
      </c>
      <c r="C149" s="64" t="s">
        <v>447</v>
      </c>
      <c r="D149" s="63" t="s">
        <v>348</v>
      </c>
      <c r="E149" s="63" t="s">
        <v>28</v>
      </c>
      <c r="F149" s="63" t="s">
        <v>448</v>
      </c>
      <c r="G149" s="63" t="s">
        <v>448</v>
      </c>
      <c r="H149" s="63" t="s">
        <v>448</v>
      </c>
      <c r="I149" s="63" t="s">
        <v>19</v>
      </c>
      <c r="J149" s="63" t="s">
        <v>20</v>
      </c>
      <c r="K149" s="63" t="s">
        <v>449</v>
      </c>
      <c r="L149" s="63">
        <v>504660620</v>
      </c>
      <c r="M149" s="63">
        <v>17</v>
      </c>
      <c r="N149" s="63"/>
    </row>
    <row r="150" spans="1:14" ht="23.45" customHeight="1">
      <c r="A150" s="61">
        <v>149</v>
      </c>
      <c r="B150" s="61">
        <v>11593</v>
      </c>
      <c r="C150" s="62" t="s">
        <v>450</v>
      </c>
      <c r="D150" s="61" t="s">
        <v>348</v>
      </c>
      <c r="E150" s="61" t="s">
        <v>16</v>
      </c>
      <c r="F150" s="61" t="s">
        <v>355</v>
      </c>
      <c r="G150" s="61" t="s">
        <v>355</v>
      </c>
      <c r="H150" s="61" t="s">
        <v>355</v>
      </c>
      <c r="I150" s="61" t="s">
        <v>19</v>
      </c>
      <c r="J150" s="61" t="s">
        <v>20</v>
      </c>
      <c r="K150" s="61" t="s">
        <v>451</v>
      </c>
      <c r="L150" s="61">
        <v>555311391</v>
      </c>
      <c r="M150" s="61">
        <v>17</v>
      </c>
      <c r="N150" s="61"/>
    </row>
    <row r="151" spans="1:14" ht="23.45" customHeight="1">
      <c r="A151" s="63">
        <v>150</v>
      </c>
      <c r="B151" s="63">
        <v>27468</v>
      </c>
      <c r="C151" s="64" t="s">
        <v>452</v>
      </c>
      <c r="D151" s="63" t="s">
        <v>348</v>
      </c>
      <c r="E151" s="63" t="s">
        <v>16</v>
      </c>
      <c r="F151" s="63" t="s">
        <v>355</v>
      </c>
      <c r="G151" s="63" t="s">
        <v>355</v>
      </c>
      <c r="H151" s="63" t="s">
        <v>355</v>
      </c>
      <c r="I151" s="63" t="s">
        <v>73</v>
      </c>
      <c r="J151" s="63" t="s">
        <v>20</v>
      </c>
      <c r="K151" s="63" t="s">
        <v>453</v>
      </c>
      <c r="L151" s="63">
        <v>595529658</v>
      </c>
      <c r="M151" s="63">
        <v>17</v>
      </c>
      <c r="N151" s="63"/>
    </row>
    <row r="152" spans="1:14" ht="23.45" customHeight="1">
      <c r="A152" s="61">
        <v>151</v>
      </c>
      <c r="B152" s="61">
        <v>14552</v>
      </c>
      <c r="C152" s="62" t="s">
        <v>454</v>
      </c>
      <c r="D152" s="61" t="s">
        <v>348</v>
      </c>
      <c r="E152" s="61" t="s">
        <v>28</v>
      </c>
      <c r="F152" s="61" t="s">
        <v>433</v>
      </c>
      <c r="G152" s="61" t="s">
        <v>30</v>
      </c>
      <c r="H152" s="61" t="s">
        <v>433</v>
      </c>
      <c r="I152" s="61" t="s">
        <v>19</v>
      </c>
      <c r="J152" s="61" t="s">
        <v>20</v>
      </c>
      <c r="K152" s="61" t="s">
        <v>455</v>
      </c>
      <c r="L152" s="61">
        <v>555594528</v>
      </c>
      <c r="M152" s="61">
        <v>17</v>
      </c>
      <c r="N152" s="61"/>
    </row>
    <row r="153" spans="1:14" ht="23.45" customHeight="1">
      <c r="A153" s="63">
        <v>152</v>
      </c>
      <c r="B153" s="63">
        <v>17929</v>
      </c>
      <c r="C153" s="64" t="s">
        <v>456</v>
      </c>
      <c r="D153" s="63" t="s">
        <v>348</v>
      </c>
      <c r="E153" s="63" t="s">
        <v>28</v>
      </c>
      <c r="F153" s="63" t="s">
        <v>358</v>
      </c>
      <c r="G153" s="63" t="s">
        <v>396</v>
      </c>
      <c r="H153" s="63" t="s">
        <v>358</v>
      </c>
      <c r="I153" s="63" t="s">
        <v>19</v>
      </c>
      <c r="J153" s="63" t="s">
        <v>20</v>
      </c>
      <c r="K153" s="63" t="s">
        <v>457</v>
      </c>
      <c r="L153" s="63">
        <v>504392464</v>
      </c>
      <c r="M153" s="63">
        <v>17</v>
      </c>
      <c r="N153" s="63"/>
    </row>
    <row r="154" spans="1:14" ht="23.45" customHeight="1">
      <c r="A154" s="61">
        <v>153</v>
      </c>
      <c r="B154" s="61">
        <v>9633</v>
      </c>
      <c r="C154" s="62" t="s">
        <v>458</v>
      </c>
      <c r="D154" s="61" t="s">
        <v>348</v>
      </c>
      <c r="E154" s="61" t="s">
        <v>28</v>
      </c>
      <c r="F154" s="61" t="s">
        <v>459</v>
      </c>
      <c r="G154" s="61" t="s">
        <v>396</v>
      </c>
      <c r="H154" s="61" t="s">
        <v>459</v>
      </c>
      <c r="I154" s="61" t="s">
        <v>55</v>
      </c>
      <c r="J154" s="61" t="s">
        <v>20</v>
      </c>
      <c r="K154" s="61" t="s">
        <v>460</v>
      </c>
      <c r="L154" s="61">
        <v>557654457</v>
      </c>
      <c r="M154" s="61">
        <v>17</v>
      </c>
      <c r="N154" s="61"/>
    </row>
    <row r="155" spans="1:14" ht="23.45" customHeight="1">
      <c r="A155" s="63">
        <v>154</v>
      </c>
      <c r="B155" s="63">
        <v>14321</v>
      </c>
      <c r="C155" s="64" t="s">
        <v>461</v>
      </c>
      <c r="D155" s="63" t="s">
        <v>348</v>
      </c>
      <c r="E155" s="63" t="s">
        <v>16</v>
      </c>
      <c r="F155" s="63" t="s">
        <v>365</v>
      </c>
      <c r="G155" s="63" t="s">
        <v>30</v>
      </c>
      <c r="H155" s="63" t="s">
        <v>365</v>
      </c>
      <c r="I155" s="63" t="s">
        <v>73</v>
      </c>
      <c r="J155" s="63" t="s">
        <v>20</v>
      </c>
      <c r="K155" s="63" t="s">
        <v>462</v>
      </c>
      <c r="L155" s="63">
        <v>562776218</v>
      </c>
      <c r="M155" s="63">
        <v>17</v>
      </c>
      <c r="N155" s="63"/>
    </row>
    <row r="156" spans="1:14" ht="23.45" customHeight="1">
      <c r="A156" s="61">
        <v>155</v>
      </c>
      <c r="B156" s="61">
        <v>19683</v>
      </c>
      <c r="C156" s="62" t="s">
        <v>463</v>
      </c>
      <c r="D156" s="61" t="s">
        <v>348</v>
      </c>
      <c r="E156" s="61" t="s">
        <v>28</v>
      </c>
      <c r="F156" s="61" t="s">
        <v>433</v>
      </c>
      <c r="G156" s="61" t="s">
        <v>396</v>
      </c>
      <c r="H156" s="61" t="s">
        <v>433</v>
      </c>
      <c r="I156" s="61" t="s">
        <v>19</v>
      </c>
      <c r="J156" s="61" t="s">
        <v>20</v>
      </c>
      <c r="K156" s="61" t="s">
        <v>464</v>
      </c>
      <c r="L156" s="61">
        <v>500402292</v>
      </c>
      <c r="M156" s="61">
        <v>17</v>
      </c>
      <c r="N156" s="61"/>
    </row>
    <row r="157" spans="1:14" ht="23.45" customHeight="1">
      <c r="A157" s="63">
        <v>156</v>
      </c>
      <c r="B157" s="63">
        <v>14137</v>
      </c>
      <c r="C157" s="64" t="s">
        <v>465</v>
      </c>
      <c r="D157" s="63" t="s">
        <v>348</v>
      </c>
      <c r="E157" s="63" t="s">
        <v>28</v>
      </c>
      <c r="F157" s="63" t="s">
        <v>374</v>
      </c>
      <c r="G157" s="63" t="s">
        <v>396</v>
      </c>
      <c r="H157" s="63" t="s">
        <v>374</v>
      </c>
      <c r="I157" s="63" t="s">
        <v>19</v>
      </c>
      <c r="J157" s="63" t="s">
        <v>20</v>
      </c>
      <c r="K157" s="63" t="s">
        <v>466</v>
      </c>
      <c r="L157" s="63">
        <v>556642255</v>
      </c>
      <c r="M157" s="63">
        <v>17</v>
      </c>
      <c r="N157" s="63"/>
    </row>
    <row r="158" spans="1:14" ht="23.45" customHeight="1">
      <c r="A158" s="61">
        <v>157</v>
      </c>
      <c r="B158" s="61">
        <v>14010</v>
      </c>
      <c r="C158" s="62" t="s">
        <v>467</v>
      </c>
      <c r="D158" s="61" t="s">
        <v>348</v>
      </c>
      <c r="E158" s="61" t="s">
        <v>16</v>
      </c>
      <c r="F158" s="61" t="s">
        <v>365</v>
      </c>
      <c r="G158" s="61" t="s">
        <v>365</v>
      </c>
      <c r="H158" s="61" t="s">
        <v>365</v>
      </c>
      <c r="I158" s="61" t="s">
        <v>19</v>
      </c>
      <c r="J158" s="61" t="s">
        <v>20</v>
      </c>
      <c r="K158" s="61" t="s">
        <v>468</v>
      </c>
      <c r="L158" s="61">
        <v>599777751</v>
      </c>
      <c r="M158" s="61">
        <v>17</v>
      </c>
      <c r="N158" s="61"/>
    </row>
    <row r="159" spans="1:14" ht="23.45" customHeight="1">
      <c r="A159" s="63">
        <v>158</v>
      </c>
      <c r="B159" s="63">
        <v>13422</v>
      </c>
      <c r="C159" s="64" t="s">
        <v>469</v>
      </c>
      <c r="D159" s="63" t="s">
        <v>348</v>
      </c>
      <c r="E159" s="63" t="s">
        <v>28</v>
      </c>
      <c r="F159" s="63" t="s">
        <v>470</v>
      </c>
      <c r="G159" s="63" t="s">
        <v>396</v>
      </c>
      <c r="H159" s="63" t="s">
        <v>470</v>
      </c>
      <c r="I159" s="63" t="s">
        <v>19</v>
      </c>
      <c r="J159" s="63" t="s">
        <v>20</v>
      </c>
      <c r="K159" s="63" t="s">
        <v>471</v>
      </c>
      <c r="L159" s="63">
        <v>551221568</v>
      </c>
      <c r="M159" s="63">
        <v>17</v>
      </c>
      <c r="N159" s="63"/>
    </row>
    <row r="160" spans="1:14" ht="23.45" customHeight="1">
      <c r="A160" s="61">
        <v>159</v>
      </c>
      <c r="B160" s="61">
        <v>11727</v>
      </c>
      <c r="C160" s="62" t="s">
        <v>472</v>
      </c>
      <c r="D160" s="61" t="s">
        <v>348</v>
      </c>
      <c r="E160" s="61" t="s">
        <v>16</v>
      </c>
      <c r="F160" s="61" t="s">
        <v>365</v>
      </c>
      <c r="G160" s="61" t="s">
        <v>473</v>
      </c>
      <c r="H160" s="61" t="s">
        <v>365</v>
      </c>
      <c r="I160" s="61" t="s">
        <v>19</v>
      </c>
      <c r="J160" s="61" t="s">
        <v>20</v>
      </c>
      <c r="K160" s="61" t="s">
        <v>474</v>
      </c>
      <c r="L160" s="61">
        <v>566464226</v>
      </c>
      <c r="M160" s="61">
        <v>17</v>
      </c>
      <c r="N160" s="61"/>
    </row>
    <row r="161" spans="1:14" ht="23.45" customHeight="1">
      <c r="A161" s="63">
        <v>160</v>
      </c>
      <c r="B161" s="63">
        <v>13761</v>
      </c>
      <c r="C161" s="64" t="s">
        <v>475</v>
      </c>
      <c r="D161" s="63" t="s">
        <v>348</v>
      </c>
      <c r="E161" s="63" t="s">
        <v>28</v>
      </c>
      <c r="F161" s="63" t="s">
        <v>476</v>
      </c>
      <c r="G161" s="63" t="s">
        <v>396</v>
      </c>
      <c r="H161" s="63" t="s">
        <v>476</v>
      </c>
      <c r="I161" s="63" t="s">
        <v>19</v>
      </c>
      <c r="J161" s="63" t="s">
        <v>20</v>
      </c>
      <c r="K161" s="63" t="s">
        <v>477</v>
      </c>
      <c r="L161" s="63">
        <v>550434161</v>
      </c>
      <c r="M161" s="63">
        <v>17</v>
      </c>
      <c r="N161" s="63"/>
    </row>
    <row r="162" spans="1:14" ht="23.45" customHeight="1">
      <c r="A162" s="61">
        <v>161</v>
      </c>
      <c r="B162" s="61">
        <v>16996</v>
      </c>
      <c r="C162" s="62" t="s">
        <v>478</v>
      </c>
      <c r="D162" s="61" t="s">
        <v>348</v>
      </c>
      <c r="E162" s="61" t="s">
        <v>28</v>
      </c>
      <c r="F162" s="61" t="s">
        <v>358</v>
      </c>
      <c r="G162" s="61" t="s">
        <v>30</v>
      </c>
      <c r="H162" s="61" t="s">
        <v>358</v>
      </c>
      <c r="I162" s="61" t="s">
        <v>19</v>
      </c>
      <c r="J162" s="61" t="s">
        <v>20</v>
      </c>
      <c r="K162" s="61" t="s">
        <v>479</v>
      </c>
      <c r="L162" s="61">
        <v>569004101</v>
      </c>
      <c r="M162" s="61">
        <v>17</v>
      </c>
      <c r="N162" s="61"/>
    </row>
    <row r="163" spans="1:14" ht="23.45" customHeight="1">
      <c r="A163" s="63">
        <v>162</v>
      </c>
      <c r="B163" s="63">
        <v>13604</v>
      </c>
      <c r="C163" s="64" t="s">
        <v>480</v>
      </c>
      <c r="D163" s="63" t="s">
        <v>348</v>
      </c>
      <c r="E163" s="63" t="s">
        <v>16</v>
      </c>
      <c r="F163" s="63" t="s">
        <v>358</v>
      </c>
      <c r="G163" s="63" t="s">
        <v>358</v>
      </c>
      <c r="H163" s="63" t="s">
        <v>358</v>
      </c>
      <c r="I163" s="63" t="s">
        <v>19</v>
      </c>
      <c r="J163" s="63" t="s">
        <v>20</v>
      </c>
      <c r="K163" s="63" t="s">
        <v>481</v>
      </c>
      <c r="L163" s="63">
        <v>543026032</v>
      </c>
      <c r="M163" s="63">
        <v>17</v>
      </c>
      <c r="N163" s="63"/>
    </row>
    <row r="164" spans="1:14" ht="23.45" customHeight="1">
      <c r="A164" s="61">
        <v>163</v>
      </c>
      <c r="B164" s="61">
        <v>17479</v>
      </c>
      <c r="C164" s="62" t="s">
        <v>482</v>
      </c>
      <c r="D164" s="61" t="s">
        <v>348</v>
      </c>
      <c r="E164" s="61" t="s">
        <v>16</v>
      </c>
      <c r="F164" s="61" t="s">
        <v>355</v>
      </c>
      <c r="G164" s="61" t="s">
        <v>483</v>
      </c>
      <c r="H164" s="61" t="s">
        <v>355</v>
      </c>
      <c r="I164" s="61" t="s">
        <v>19</v>
      </c>
      <c r="J164" s="61" t="s">
        <v>20</v>
      </c>
      <c r="K164" s="61" t="s">
        <v>484</v>
      </c>
      <c r="L164" s="61">
        <v>503673823</v>
      </c>
      <c r="M164" s="61">
        <v>17</v>
      </c>
      <c r="N164" s="61"/>
    </row>
    <row r="165" spans="1:14" ht="23.45" customHeight="1">
      <c r="A165" s="63">
        <v>164</v>
      </c>
      <c r="B165" s="63">
        <v>17489</v>
      </c>
      <c r="C165" s="64" t="s">
        <v>485</v>
      </c>
      <c r="D165" s="63" t="s">
        <v>348</v>
      </c>
      <c r="E165" s="63" t="s">
        <v>28</v>
      </c>
      <c r="F165" s="63" t="s">
        <v>486</v>
      </c>
      <c r="G165" s="63" t="s">
        <v>396</v>
      </c>
      <c r="H165" s="63" t="s">
        <v>487</v>
      </c>
      <c r="I165" s="63" t="s">
        <v>19</v>
      </c>
      <c r="J165" s="63" t="s">
        <v>20</v>
      </c>
      <c r="K165" s="63" t="s">
        <v>488</v>
      </c>
      <c r="L165" s="63">
        <v>550311553</v>
      </c>
      <c r="M165" s="63">
        <v>17</v>
      </c>
      <c r="N165" s="63"/>
    </row>
    <row r="166" spans="1:14" ht="23.45" customHeight="1">
      <c r="A166" s="61">
        <v>165</v>
      </c>
      <c r="B166" s="61">
        <v>18468</v>
      </c>
      <c r="C166" s="62" t="s">
        <v>489</v>
      </c>
      <c r="D166" s="61" t="s">
        <v>348</v>
      </c>
      <c r="E166" s="61" t="s">
        <v>16</v>
      </c>
      <c r="F166" s="61" t="s">
        <v>365</v>
      </c>
      <c r="G166" s="61" t="s">
        <v>358</v>
      </c>
      <c r="H166" s="61" t="s">
        <v>365</v>
      </c>
      <c r="I166" s="61" t="s">
        <v>19</v>
      </c>
      <c r="J166" s="61" t="s">
        <v>20</v>
      </c>
      <c r="K166" s="61" t="s">
        <v>490</v>
      </c>
      <c r="L166" s="61">
        <v>555300439</v>
      </c>
      <c r="M166" s="61">
        <v>17</v>
      </c>
      <c r="N166" s="61"/>
    </row>
    <row r="167" spans="1:14" ht="23.45" customHeight="1">
      <c r="A167" s="63">
        <v>166</v>
      </c>
      <c r="B167" s="63">
        <v>9267</v>
      </c>
      <c r="C167" s="64" t="s">
        <v>491</v>
      </c>
      <c r="D167" s="63" t="s">
        <v>348</v>
      </c>
      <c r="E167" s="63" t="s">
        <v>134</v>
      </c>
      <c r="F167" s="63" t="s">
        <v>358</v>
      </c>
      <c r="G167" s="63" t="s">
        <v>396</v>
      </c>
      <c r="H167" s="63" t="s">
        <v>358</v>
      </c>
      <c r="I167" s="63" t="s">
        <v>55</v>
      </c>
      <c r="J167" s="63" t="s">
        <v>20</v>
      </c>
      <c r="K167" s="63" t="s">
        <v>492</v>
      </c>
      <c r="L167" s="63">
        <v>560203636</v>
      </c>
      <c r="M167" s="63">
        <v>17</v>
      </c>
      <c r="N167" s="63"/>
    </row>
    <row r="168" spans="1:14" ht="23.45" customHeight="1">
      <c r="A168" s="61">
        <v>167</v>
      </c>
      <c r="B168" s="61">
        <v>9043</v>
      </c>
      <c r="C168" s="62" t="s">
        <v>493</v>
      </c>
      <c r="D168" s="61" t="s">
        <v>348</v>
      </c>
      <c r="E168" s="61" t="s">
        <v>28</v>
      </c>
      <c r="F168" s="61" t="s">
        <v>433</v>
      </c>
      <c r="G168" s="61" t="s">
        <v>358</v>
      </c>
      <c r="H168" s="61" t="s">
        <v>433</v>
      </c>
      <c r="I168" s="61" t="s">
        <v>19</v>
      </c>
      <c r="J168" s="61" t="s">
        <v>20</v>
      </c>
      <c r="K168" s="61" t="s">
        <v>494</v>
      </c>
      <c r="L168" s="61">
        <v>505690982</v>
      </c>
      <c r="M168" s="61">
        <v>17</v>
      </c>
      <c r="N168" s="61"/>
    </row>
    <row r="169" spans="1:14" ht="23.45" customHeight="1">
      <c r="A169" s="63">
        <v>168</v>
      </c>
      <c r="B169" s="63">
        <v>14018</v>
      </c>
      <c r="C169" s="64" t="s">
        <v>495</v>
      </c>
      <c r="D169" s="63" t="s">
        <v>348</v>
      </c>
      <c r="E169" s="63" t="s">
        <v>16</v>
      </c>
      <c r="F169" s="63" t="s">
        <v>358</v>
      </c>
      <c r="G169" s="63" t="s">
        <v>496</v>
      </c>
      <c r="H169" s="63" t="s">
        <v>358</v>
      </c>
      <c r="I169" s="63" t="s">
        <v>73</v>
      </c>
      <c r="J169" s="63" t="s">
        <v>20</v>
      </c>
      <c r="K169" s="63" t="s">
        <v>497</v>
      </c>
      <c r="L169" s="63">
        <v>505521519</v>
      </c>
      <c r="M169" s="63">
        <v>17</v>
      </c>
      <c r="N169" s="63"/>
    </row>
    <row r="170" spans="1:14" ht="23.45" customHeight="1">
      <c r="A170" s="61">
        <v>169</v>
      </c>
      <c r="B170" s="61">
        <v>12602</v>
      </c>
      <c r="C170" s="62" t="s">
        <v>498</v>
      </c>
      <c r="D170" s="61" t="s">
        <v>348</v>
      </c>
      <c r="E170" s="61" t="s">
        <v>28</v>
      </c>
      <c r="F170" s="61" t="s">
        <v>499</v>
      </c>
      <c r="G170" s="61" t="s">
        <v>500</v>
      </c>
      <c r="H170" s="61" t="s">
        <v>499</v>
      </c>
      <c r="I170" s="61" t="s">
        <v>19</v>
      </c>
      <c r="J170" s="61" t="s">
        <v>20</v>
      </c>
      <c r="K170" s="61" t="s">
        <v>501</v>
      </c>
      <c r="L170" s="61">
        <v>565684870</v>
      </c>
      <c r="M170" s="61">
        <v>17</v>
      </c>
      <c r="N170" s="61"/>
    </row>
    <row r="171" spans="1:14" ht="23.45" customHeight="1">
      <c r="A171" s="63">
        <v>170</v>
      </c>
      <c r="B171" s="63">
        <v>23476</v>
      </c>
      <c r="C171" s="64" t="s">
        <v>502</v>
      </c>
      <c r="D171" s="63" t="s">
        <v>348</v>
      </c>
      <c r="E171" s="63" t="s">
        <v>16</v>
      </c>
      <c r="F171" s="63" t="s">
        <v>355</v>
      </c>
      <c r="G171" s="63" t="s">
        <v>503</v>
      </c>
      <c r="H171" s="63" t="s">
        <v>355</v>
      </c>
      <c r="I171" s="63" t="s">
        <v>73</v>
      </c>
      <c r="J171" s="63" t="s">
        <v>20</v>
      </c>
      <c r="K171" s="63" t="s">
        <v>504</v>
      </c>
      <c r="L171" s="63">
        <v>561662894</v>
      </c>
      <c r="M171" s="63">
        <v>17</v>
      </c>
      <c r="N171" s="63"/>
    </row>
    <row r="172" spans="1:14" ht="23.45" customHeight="1">
      <c r="A172" s="61">
        <v>171</v>
      </c>
      <c r="B172" s="61">
        <v>13954</v>
      </c>
      <c r="C172" s="62" t="s">
        <v>505</v>
      </c>
      <c r="D172" s="61" t="s">
        <v>348</v>
      </c>
      <c r="E172" s="61" t="s">
        <v>28</v>
      </c>
      <c r="F172" s="61" t="s">
        <v>374</v>
      </c>
      <c r="G172" s="61" t="s">
        <v>396</v>
      </c>
      <c r="H172" s="61" t="s">
        <v>374</v>
      </c>
      <c r="I172" s="61" t="s">
        <v>19</v>
      </c>
      <c r="J172" s="61" t="s">
        <v>20</v>
      </c>
      <c r="K172" s="61" t="s">
        <v>431</v>
      </c>
      <c r="L172" s="61">
        <v>506766513</v>
      </c>
      <c r="M172" s="61">
        <v>17</v>
      </c>
      <c r="N172" s="61"/>
    </row>
    <row r="173" spans="1:14" ht="23.45" customHeight="1">
      <c r="A173" s="63">
        <v>172</v>
      </c>
      <c r="B173" s="63">
        <v>16819</v>
      </c>
      <c r="C173" s="64" t="s">
        <v>506</v>
      </c>
      <c r="D173" s="63" t="s">
        <v>348</v>
      </c>
      <c r="E173" s="63" t="s">
        <v>28</v>
      </c>
      <c r="F173" s="63" t="s">
        <v>358</v>
      </c>
      <c r="G173" s="63" t="s">
        <v>358</v>
      </c>
      <c r="H173" s="63" t="s">
        <v>358</v>
      </c>
      <c r="I173" s="63" t="s">
        <v>19</v>
      </c>
      <c r="J173" s="63" t="s">
        <v>20</v>
      </c>
      <c r="K173" s="63" t="s">
        <v>507</v>
      </c>
      <c r="L173" s="63">
        <v>566533881</v>
      </c>
      <c r="M173" s="63">
        <v>17</v>
      </c>
      <c r="N173" s="63"/>
    </row>
    <row r="174" spans="1:14" ht="23.45" customHeight="1">
      <c r="A174" s="61">
        <v>173</v>
      </c>
      <c r="B174" s="61">
        <v>8687</v>
      </c>
      <c r="C174" s="62" t="s">
        <v>508</v>
      </c>
      <c r="D174" s="61" t="s">
        <v>509</v>
      </c>
      <c r="E174" s="61" t="s">
        <v>28</v>
      </c>
      <c r="F174" s="61" t="s">
        <v>510</v>
      </c>
      <c r="G174" s="61" t="s">
        <v>511</v>
      </c>
      <c r="H174" s="61" t="s">
        <v>358</v>
      </c>
      <c r="I174" s="61" t="s">
        <v>19</v>
      </c>
      <c r="J174" s="61" t="s">
        <v>20</v>
      </c>
      <c r="K174" s="61" t="s">
        <v>512</v>
      </c>
      <c r="L174" s="61">
        <v>557677883</v>
      </c>
      <c r="M174" s="61">
        <v>20</v>
      </c>
      <c r="N174" s="61"/>
    </row>
    <row r="175" spans="1:14" ht="23.45" customHeight="1">
      <c r="A175" s="63">
        <v>174</v>
      </c>
      <c r="B175" s="63">
        <v>30525</v>
      </c>
      <c r="C175" s="64" t="s">
        <v>513</v>
      </c>
      <c r="D175" s="63" t="s">
        <v>509</v>
      </c>
      <c r="E175" s="63" t="s">
        <v>16</v>
      </c>
      <c r="F175" s="63" t="s">
        <v>514</v>
      </c>
      <c r="G175" s="63" t="s">
        <v>30</v>
      </c>
      <c r="H175" s="63" t="s">
        <v>514</v>
      </c>
      <c r="I175" s="63" t="s">
        <v>73</v>
      </c>
      <c r="J175" s="63" t="s">
        <v>20</v>
      </c>
      <c r="K175" s="63" t="s">
        <v>515</v>
      </c>
      <c r="L175" s="63">
        <v>580309493</v>
      </c>
      <c r="M175" s="63">
        <v>20</v>
      </c>
      <c r="N175" s="63"/>
    </row>
    <row r="176" spans="1:14" ht="23.45" customHeight="1">
      <c r="A176" s="61">
        <v>175</v>
      </c>
      <c r="B176" s="61">
        <v>29858</v>
      </c>
      <c r="C176" s="62" t="s">
        <v>516</v>
      </c>
      <c r="D176" s="61" t="s">
        <v>509</v>
      </c>
      <c r="E176" s="61" t="s">
        <v>16</v>
      </c>
      <c r="F176" s="61" t="s">
        <v>517</v>
      </c>
      <c r="G176" s="61" t="s">
        <v>517</v>
      </c>
      <c r="H176" s="61" t="s">
        <v>517</v>
      </c>
      <c r="I176" s="61" t="s">
        <v>73</v>
      </c>
      <c r="J176" s="61" t="s">
        <v>20</v>
      </c>
      <c r="K176" s="61" t="s">
        <v>518</v>
      </c>
      <c r="L176" s="61">
        <v>554774467</v>
      </c>
      <c r="M176" s="61">
        <v>20</v>
      </c>
      <c r="N176" s="61"/>
    </row>
    <row r="177" spans="1:14" ht="23.45" customHeight="1">
      <c r="A177" s="63">
        <v>176</v>
      </c>
      <c r="B177" s="63">
        <v>30531</v>
      </c>
      <c r="C177" s="64" t="s">
        <v>519</v>
      </c>
      <c r="D177" s="63" t="s">
        <v>509</v>
      </c>
      <c r="E177" s="63" t="s">
        <v>16</v>
      </c>
      <c r="F177" s="63" t="s">
        <v>520</v>
      </c>
      <c r="G177" s="63" t="s">
        <v>520</v>
      </c>
      <c r="H177" s="63" t="s">
        <v>521</v>
      </c>
      <c r="I177" s="63" t="s">
        <v>73</v>
      </c>
      <c r="J177" s="63" t="s">
        <v>20</v>
      </c>
      <c r="K177" s="63" t="s">
        <v>522</v>
      </c>
      <c r="L177" s="63">
        <v>552100488</v>
      </c>
      <c r="M177" s="63">
        <v>20</v>
      </c>
      <c r="N177" s="63"/>
    </row>
    <row r="178" spans="1:14" ht="23.45" customHeight="1">
      <c r="A178" s="61">
        <v>177</v>
      </c>
      <c r="B178" s="61">
        <v>9146</v>
      </c>
      <c r="C178" s="62" t="s">
        <v>523</v>
      </c>
      <c r="D178" s="61" t="s">
        <v>509</v>
      </c>
      <c r="E178" s="61" t="s">
        <v>28</v>
      </c>
      <c r="F178" s="61" t="s">
        <v>470</v>
      </c>
      <c r="G178" s="61" t="s">
        <v>524</v>
      </c>
      <c r="H178" s="61" t="s">
        <v>524</v>
      </c>
      <c r="I178" s="61" t="s">
        <v>19</v>
      </c>
      <c r="J178" s="61" t="s">
        <v>20</v>
      </c>
      <c r="K178" s="61" t="s">
        <v>525</v>
      </c>
      <c r="L178" s="61">
        <v>504605269</v>
      </c>
      <c r="M178" s="61">
        <v>20</v>
      </c>
      <c r="N178" s="61"/>
    </row>
    <row r="179" spans="1:14" ht="23.45" customHeight="1">
      <c r="A179" s="63">
        <v>178</v>
      </c>
      <c r="B179" s="63">
        <v>13706</v>
      </c>
      <c r="C179" s="64" t="s">
        <v>526</v>
      </c>
      <c r="D179" s="63" t="s">
        <v>509</v>
      </c>
      <c r="E179" s="63" t="s">
        <v>16</v>
      </c>
      <c r="F179" s="63" t="s">
        <v>246</v>
      </c>
      <c r="G179" s="63" t="s">
        <v>246</v>
      </c>
      <c r="H179" s="63" t="s">
        <v>246</v>
      </c>
      <c r="I179" s="63" t="s">
        <v>19</v>
      </c>
      <c r="J179" s="63" t="s">
        <v>20</v>
      </c>
      <c r="K179" s="63" t="s">
        <v>527</v>
      </c>
      <c r="L179" s="63">
        <v>503614926</v>
      </c>
      <c r="M179" s="63">
        <v>20</v>
      </c>
      <c r="N179" s="63"/>
    </row>
    <row r="180" spans="1:14" ht="23.45" customHeight="1">
      <c r="A180" s="61">
        <v>179</v>
      </c>
      <c r="B180" s="61">
        <v>27105</v>
      </c>
      <c r="C180" s="62" t="s">
        <v>528</v>
      </c>
      <c r="D180" s="61" t="s">
        <v>509</v>
      </c>
      <c r="E180" s="61" t="s">
        <v>16</v>
      </c>
      <c r="F180" s="61" t="s">
        <v>529</v>
      </c>
      <c r="G180" s="61" t="s">
        <v>30</v>
      </c>
      <c r="H180" s="61" t="s">
        <v>529</v>
      </c>
      <c r="I180" s="61" t="s">
        <v>73</v>
      </c>
      <c r="J180" s="61" t="s">
        <v>20</v>
      </c>
      <c r="K180" s="61" t="s">
        <v>530</v>
      </c>
      <c r="L180" s="61">
        <v>500806808</v>
      </c>
      <c r="M180" s="61">
        <v>20</v>
      </c>
      <c r="N180" s="61"/>
    </row>
    <row r="181" spans="1:14" ht="23.45" customHeight="1">
      <c r="A181" s="63">
        <v>180</v>
      </c>
      <c r="B181" s="63">
        <v>29867</v>
      </c>
      <c r="C181" s="64" t="s">
        <v>531</v>
      </c>
      <c r="D181" s="63" t="s">
        <v>509</v>
      </c>
      <c r="E181" s="63" t="s">
        <v>16</v>
      </c>
      <c r="F181" s="63" t="s">
        <v>532</v>
      </c>
      <c r="G181" s="63" t="s">
        <v>517</v>
      </c>
      <c r="H181" s="63" t="s">
        <v>533</v>
      </c>
      <c r="I181" s="63" t="s">
        <v>73</v>
      </c>
      <c r="J181" s="63" t="s">
        <v>20</v>
      </c>
      <c r="K181" s="63" t="s">
        <v>534</v>
      </c>
      <c r="L181" s="63">
        <v>565557012</v>
      </c>
      <c r="M181" s="63">
        <v>20</v>
      </c>
      <c r="N181" s="63"/>
    </row>
    <row r="182" spans="1:14" ht="23.45" customHeight="1">
      <c r="A182" s="61">
        <v>181</v>
      </c>
      <c r="B182" s="61">
        <v>11746</v>
      </c>
      <c r="C182" s="62" t="s">
        <v>535</v>
      </c>
      <c r="D182" s="61" t="s">
        <v>509</v>
      </c>
      <c r="E182" s="61" t="s">
        <v>28</v>
      </c>
      <c r="F182" s="61" t="s">
        <v>358</v>
      </c>
      <c r="G182" s="61" t="s">
        <v>30</v>
      </c>
      <c r="H182" s="61" t="s">
        <v>358</v>
      </c>
      <c r="I182" s="61" t="s">
        <v>55</v>
      </c>
      <c r="J182" s="61" t="s">
        <v>20</v>
      </c>
      <c r="K182" s="61" t="s">
        <v>536</v>
      </c>
      <c r="L182" s="61">
        <v>594422966</v>
      </c>
      <c r="M182" s="61">
        <v>20</v>
      </c>
      <c r="N182" s="61"/>
    </row>
    <row r="183" spans="1:14" ht="23.45" customHeight="1">
      <c r="A183" s="63">
        <v>182</v>
      </c>
      <c r="B183" s="63">
        <v>15572</v>
      </c>
      <c r="C183" s="64" t="s">
        <v>537</v>
      </c>
      <c r="D183" s="63" t="s">
        <v>538</v>
      </c>
      <c r="E183" s="63" t="s">
        <v>147</v>
      </c>
      <c r="F183" s="63" t="s">
        <v>539</v>
      </c>
      <c r="G183" s="63" t="s">
        <v>540</v>
      </c>
      <c r="H183" s="63" t="s">
        <v>541</v>
      </c>
      <c r="I183" s="63" t="s">
        <v>142</v>
      </c>
      <c r="J183" s="63" t="s">
        <v>20</v>
      </c>
      <c r="K183" s="63" t="s">
        <v>542</v>
      </c>
      <c r="L183" s="63">
        <v>555570179</v>
      </c>
      <c r="M183" s="63">
        <v>13</v>
      </c>
      <c r="N183" s="63"/>
    </row>
    <row r="184" spans="1:14" ht="23.45" customHeight="1">
      <c r="A184" s="61">
        <v>183</v>
      </c>
      <c r="B184" s="61">
        <v>29128</v>
      </c>
      <c r="C184" s="62" t="s">
        <v>543</v>
      </c>
      <c r="D184" s="61" t="s">
        <v>538</v>
      </c>
      <c r="E184" s="61" t="s">
        <v>16</v>
      </c>
      <c r="F184" s="61" t="s">
        <v>544</v>
      </c>
      <c r="G184" s="61" t="s">
        <v>396</v>
      </c>
      <c r="H184" s="61" t="s">
        <v>544</v>
      </c>
      <c r="I184" s="61" t="s">
        <v>73</v>
      </c>
      <c r="J184" s="61" t="s">
        <v>20</v>
      </c>
      <c r="K184" s="61" t="s">
        <v>545</v>
      </c>
      <c r="L184" s="61">
        <v>556891629</v>
      </c>
      <c r="M184" s="61">
        <v>13</v>
      </c>
      <c r="N184" s="61"/>
    </row>
    <row r="185" spans="1:14" ht="23.45" customHeight="1">
      <c r="A185" s="63">
        <v>184</v>
      </c>
      <c r="B185" s="63">
        <v>27675</v>
      </c>
      <c r="C185" s="64" t="s">
        <v>546</v>
      </c>
      <c r="D185" s="63" t="s">
        <v>538</v>
      </c>
      <c r="E185" s="63" t="s">
        <v>16</v>
      </c>
      <c r="F185" s="63" t="s">
        <v>547</v>
      </c>
      <c r="G185" s="63" t="s">
        <v>396</v>
      </c>
      <c r="H185" s="63" t="s">
        <v>548</v>
      </c>
      <c r="I185" s="63" t="s">
        <v>73</v>
      </c>
      <c r="J185" s="63" t="s">
        <v>20</v>
      </c>
      <c r="K185" s="63" t="s">
        <v>549</v>
      </c>
      <c r="L185" s="63">
        <v>566527778</v>
      </c>
      <c r="M185" s="63">
        <v>13</v>
      </c>
      <c r="N185" s="63"/>
    </row>
    <row r="186" spans="1:14" ht="23.45" customHeight="1">
      <c r="A186" s="61">
        <v>185</v>
      </c>
      <c r="B186" s="61">
        <v>27661</v>
      </c>
      <c r="C186" s="62" t="s">
        <v>550</v>
      </c>
      <c r="D186" s="61" t="s">
        <v>538</v>
      </c>
      <c r="E186" s="61" t="s">
        <v>16</v>
      </c>
      <c r="F186" s="61" t="s">
        <v>544</v>
      </c>
      <c r="G186" s="61" t="s">
        <v>551</v>
      </c>
      <c r="H186" s="61" t="s">
        <v>544</v>
      </c>
      <c r="I186" s="61" t="s">
        <v>73</v>
      </c>
      <c r="J186" s="61" t="s">
        <v>20</v>
      </c>
      <c r="K186" s="61" t="s">
        <v>552</v>
      </c>
      <c r="L186" s="61">
        <v>599549494</v>
      </c>
      <c r="M186" s="61">
        <v>13</v>
      </c>
      <c r="N186" s="61"/>
    </row>
    <row r="187" spans="1:14" ht="23.45" customHeight="1">
      <c r="A187" s="63">
        <v>186</v>
      </c>
      <c r="B187" s="63">
        <v>28519</v>
      </c>
      <c r="C187" s="64" t="s">
        <v>553</v>
      </c>
      <c r="D187" s="63" t="s">
        <v>538</v>
      </c>
      <c r="E187" s="63" t="s">
        <v>28</v>
      </c>
      <c r="F187" s="63" t="s">
        <v>554</v>
      </c>
      <c r="G187" s="63" t="s">
        <v>396</v>
      </c>
      <c r="H187" s="63" t="s">
        <v>554</v>
      </c>
      <c r="I187" s="63" t="s">
        <v>19</v>
      </c>
      <c r="J187" s="63" t="s">
        <v>20</v>
      </c>
      <c r="K187" s="63" t="s">
        <v>555</v>
      </c>
      <c r="L187" s="63">
        <v>595000063</v>
      </c>
      <c r="M187" s="63">
        <v>13</v>
      </c>
      <c r="N187" s="63"/>
    </row>
    <row r="188" spans="1:14" ht="23.45" customHeight="1">
      <c r="A188" s="61">
        <v>187</v>
      </c>
      <c r="B188" s="61">
        <v>26713</v>
      </c>
      <c r="C188" s="62" t="s">
        <v>556</v>
      </c>
      <c r="D188" s="61" t="s">
        <v>538</v>
      </c>
      <c r="E188" s="61" t="s">
        <v>16</v>
      </c>
      <c r="F188" s="61" t="s">
        <v>557</v>
      </c>
      <c r="G188" s="61" t="s">
        <v>558</v>
      </c>
      <c r="H188" s="61" t="s">
        <v>557</v>
      </c>
      <c r="I188" s="61" t="s">
        <v>73</v>
      </c>
      <c r="J188" s="61" t="s">
        <v>20</v>
      </c>
      <c r="K188" s="61" t="s">
        <v>559</v>
      </c>
      <c r="L188" s="61">
        <v>541144443</v>
      </c>
      <c r="M188" s="61">
        <v>13</v>
      </c>
      <c r="N188" s="61"/>
    </row>
    <row r="189" spans="1:14" ht="23.45" customHeight="1">
      <c r="A189" s="63">
        <v>188</v>
      </c>
      <c r="B189" s="63">
        <v>26227</v>
      </c>
      <c r="C189" s="64" t="s">
        <v>560</v>
      </c>
      <c r="D189" s="63" t="s">
        <v>538</v>
      </c>
      <c r="E189" s="63" t="s">
        <v>28</v>
      </c>
      <c r="F189" s="63" t="s">
        <v>561</v>
      </c>
      <c r="G189" s="63" t="s">
        <v>562</v>
      </c>
      <c r="H189" s="63" t="s">
        <v>563</v>
      </c>
      <c r="I189" s="63" t="s">
        <v>73</v>
      </c>
      <c r="J189" s="63" t="s">
        <v>20</v>
      </c>
      <c r="K189" s="63" t="s">
        <v>564</v>
      </c>
      <c r="L189" s="63">
        <v>541995471</v>
      </c>
      <c r="M189" s="63">
        <v>13</v>
      </c>
      <c r="N189" s="63"/>
    </row>
    <row r="190" spans="1:14" ht="23.45" customHeight="1">
      <c r="A190" s="61">
        <v>189</v>
      </c>
      <c r="B190" s="61">
        <v>26691</v>
      </c>
      <c r="C190" s="62" t="s">
        <v>565</v>
      </c>
      <c r="D190" s="61" t="s">
        <v>538</v>
      </c>
      <c r="E190" s="61" t="s">
        <v>28</v>
      </c>
      <c r="F190" s="61" t="s">
        <v>547</v>
      </c>
      <c r="G190" s="61" t="s">
        <v>566</v>
      </c>
      <c r="H190" s="61" t="s">
        <v>61</v>
      </c>
      <c r="I190" s="61" t="s">
        <v>19</v>
      </c>
      <c r="J190" s="61" t="s">
        <v>20</v>
      </c>
      <c r="K190" s="61" t="s">
        <v>567</v>
      </c>
      <c r="L190" s="61">
        <v>530390220</v>
      </c>
      <c r="M190" s="61">
        <v>13</v>
      </c>
      <c r="N190" s="61"/>
    </row>
    <row r="191" spans="1:14" ht="23.45" customHeight="1">
      <c r="A191" s="63">
        <v>190</v>
      </c>
      <c r="B191" s="63">
        <v>10557</v>
      </c>
      <c r="C191" s="64" t="s">
        <v>568</v>
      </c>
      <c r="D191" s="63" t="s">
        <v>538</v>
      </c>
      <c r="E191" s="63" t="s">
        <v>16</v>
      </c>
      <c r="F191" s="63" t="s">
        <v>61</v>
      </c>
      <c r="G191" s="63" t="s">
        <v>551</v>
      </c>
      <c r="H191" s="63" t="s">
        <v>61</v>
      </c>
      <c r="I191" s="63" t="s">
        <v>73</v>
      </c>
      <c r="J191" s="63" t="s">
        <v>20</v>
      </c>
      <c r="K191" s="63" t="s">
        <v>569</v>
      </c>
      <c r="L191" s="63">
        <v>555762115</v>
      </c>
      <c r="M191" s="63">
        <v>13</v>
      </c>
      <c r="N191" s="63"/>
    </row>
    <row r="192" spans="1:14" ht="23.45" customHeight="1">
      <c r="A192" s="61">
        <v>191</v>
      </c>
      <c r="B192" s="61">
        <v>28107</v>
      </c>
      <c r="C192" s="62" t="s">
        <v>570</v>
      </c>
      <c r="D192" s="61" t="s">
        <v>538</v>
      </c>
      <c r="E192" s="61" t="s">
        <v>16</v>
      </c>
      <c r="F192" s="61" t="s">
        <v>563</v>
      </c>
      <c r="G192" s="61" t="s">
        <v>396</v>
      </c>
      <c r="H192" s="61" t="s">
        <v>563</v>
      </c>
      <c r="I192" s="61" t="s">
        <v>73</v>
      </c>
      <c r="J192" s="61" t="s">
        <v>20</v>
      </c>
      <c r="K192" s="61" t="s">
        <v>571</v>
      </c>
      <c r="L192" s="61">
        <v>502469447</v>
      </c>
      <c r="M192" s="61">
        <v>13</v>
      </c>
      <c r="N192" s="61"/>
    </row>
    <row r="193" spans="1:14" ht="23.45" customHeight="1">
      <c r="A193" s="63">
        <v>192</v>
      </c>
      <c r="B193" s="63">
        <v>27546</v>
      </c>
      <c r="C193" s="64" t="s">
        <v>572</v>
      </c>
      <c r="D193" s="63" t="s">
        <v>538</v>
      </c>
      <c r="E193" s="63" t="s">
        <v>16</v>
      </c>
      <c r="F193" s="63" t="s">
        <v>547</v>
      </c>
      <c r="G193" s="63" t="s">
        <v>551</v>
      </c>
      <c r="H193" s="63" t="s">
        <v>548</v>
      </c>
      <c r="I193" s="63" t="s">
        <v>73</v>
      </c>
      <c r="J193" s="63" t="s">
        <v>20</v>
      </c>
      <c r="K193" s="63" t="s">
        <v>573</v>
      </c>
      <c r="L193" s="63">
        <v>502430300</v>
      </c>
      <c r="M193" s="63">
        <v>13</v>
      </c>
      <c r="N193" s="63"/>
    </row>
    <row r="194" spans="1:14" ht="23.45" customHeight="1">
      <c r="A194" s="61">
        <v>193</v>
      </c>
      <c r="B194" s="61">
        <v>27684</v>
      </c>
      <c r="C194" s="62" t="s">
        <v>574</v>
      </c>
      <c r="D194" s="61" t="s">
        <v>538</v>
      </c>
      <c r="E194" s="61" t="s">
        <v>16</v>
      </c>
      <c r="F194" s="61" t="s">
        <v>575</v>
      </c>
      <c r="G194" s="61" t="s">
        <v>396</v>
      </c>
      <c r="H194" s="61" t="s">
        <v>544</v>
      </c>
      <c r="I194" s="61" t="s">
        <v>73</v>
      </c>
      <c r="J194" s="61" t="s">
        <v>20</v>
      </c>
      <c r="K194" s="61" t="s">
        <v>576</v>
      </c>
      <c r="L194" s="61">
        <v>547725222</v>
      </c>
      <c r="M194" s="61">
        <v>13</v>
      </c>
      <c r="N194" s="61"/>
    </row>
    <row r="195" spans="1:14" ht="23.45" customHeight="1">
      <c r="A195" s="63">
        <v>194</v>
      </c>
      <c r="B195" s="63">
        <v>10228</v>
      </c>
      <c r="C195" s="64" t="s">
        <v>577</v>
      </c>
      <c r="D195" s="63" t="s">
        <v>538</v>
      </c>
      <c r="E195" s="63" t="s">
        <v>28</v>
      </c>
      <c r="F195" s="63" t="s">
        <v>578</v>
      </c>
      <c r="G195" s="63" t="s">
        <v>579</v>
      </c>
      <c r="H195" s="63" t="s">
        <v>548</v>
      </c>
      <c r="I195" s="63" t="s">
        <v>19</v>
      </c>
      <c r="J195" s="63" t="s">
        <v>20</v>
      </c>
      <c r="K195" s="63" t="s">
        <v>580</v>
      </c>
      <c r="L195" s="63">
        <v>507704363</v>
      </c>
      <c r="M195" s="63">
        <v>13</v>
      </c>
      <c r="N195" s="63"/>
    </row>
    <row r="196" spans="1:14" ht="23.45" customHeight="1">
      <c r="A196" s="61">
        <v>195</v>
      </c>
      <c r="B196" s="61">
        <v>30298</v>
      </c>
      <c r="C196" s="62" t="s">
        <v>581</v>
      </c>
      <c r="D196" s="61" t="s">
        <v>538</v>
      </c>
      <c r="E196" s="61" t="s">
        <v>28</v>
      </c>
      <c r="F196" s="61" t="s">
        <v>582</v>
      </c>
      <c r="G196" s="61" t="s">
        <v>583</v>
      </c>
      <c r="H196" s="61" t="s">
        <v>582</v>
      </c>
      <c r="I196" s="61" t="s">
        <v>19</v>
      </c>
      <c r="J196" s="61" t="s">
        <v>20</v>
      </c>
      <c r="K196" s="61" t="s">
        <v>584</v>
      </c>
      <c r="L196" s="61">
        <v>502166122</v>
      </c>
      <c r="M196" s="61">
        <v>13</v>
      </c>
      <c r="N196" s="61"/>
    </row>
    <row r="197" spans="1:14" ht="23.45" customHeight="1">
      <c r="A197" s="63">
        <v>196</v>
      </c>
      <c r="B197" s="63">
        <v>26623</v>
      </c>
      <c r="C197" s="64" t="s">
        <v>585</v>
      </c>
      <c r="D197" s="63" t="s">
        <v>538</v>
      </c>
      <c r="E197" s="63" t="s">
        <v>28</v>
      </c>
      <c r="F197" s="63" t="s">
        <v>586</v>
      </c>
      <c r="G197" s="63" t="s">
        <v>396</v>
      </c>
      <c r="H197" s="63" t="s">
        <v>586</v>
      </c>
      <c r="I197" s="63" t="s">
        <v>73</v>
      </c>
      <c r="J197" s="63" t="s">
        <v>20</v>
      </c>
      <c r="K197" s="63" t="s">
        <v>587</v>
      </c>
      <c r="L197" s="63">
        <v>542550337</v>
      </c>
      <c r="M197" s="63">
        <v>13</v>
      </c>
      <c r="N197" s="63"/>
    </row>
    <row r="198" spans="1:14" ht="23.45" customHeight="1">
      <c r="A198" s="61">
        <v>197</v>
      </c>
      <c r="B198" s="61">
        <v>9162</v>
      </c>
      <c r="C198" s="62" t="s">
        <v>588</v>
      </c>
      <c r="D198" s="61" t="s">
        <v>348</v>
      </c>
      <c r="E198" s="61" t="s">
        <v>28</v>
      </c>
      <c r="F198" s="61" t="s">
        <v>589</v>
      </c>
      <c r="G198" s="61" t="s">
        <v>30</v>
      </c>
      <c r="H198" s="61" t="s">
        <v>589</v>
      </c>
      <c r="I198" s="61" t="s">
        <v>19</v>
      </c>
      <c r="J198" s="61" t="s">
        <v>20</v>
      </c>
      <c r="K198" s="61" t="s">
        <v>590</v>
      </c>
      <c r="L198" s="61">
        <v>50708505</v>
      </c>
      <c r="M198" s="61">
        <v>17</v>
      </c>
      <c r="N198" s="61"/>
    </row>
    <row r="199" spans="1:14" ht="23.45" customHeight="1">
      <c r="A199" s="63">
        <v>198</v>
      </c>
      <c r="B199" s="63">
        <v>24241</v>
      </c>
      <c r="C199" s="64" t="s">
        <v>591</v>
      </c>
      <c r="D199" s="63" t="s">
        <v>348</v>
      </c>
      <c r="E199" s="63" t="s">
        <v>134</v>
      </c>
      <c r="F199" s="63" t="s">
        <v>361</v>
      </c>
      <c r="G199" s="63" t="s">
        <v>592</v>
      </c>
      <c r="H199" s="63" t="s">
        <v>358</v>
      </c>
      <c r="I199" s="63" t="s">
        <v>55</v>
      </c>
      <c r="J199" s="63" t="s">
        <v>174</v>
      </c>
      <c r="K199" s="63" t="s">
        <v>593</v>
      </c>
      <c r="L199" s="63">
        <v>501238059</v>
      </c>
      <c r="M199" s="63">
        <v>17</v>
      </c>
      <c r="N199" s="63"/>
    </row>
    <row r="200" spans="1:14" ht="23.45" customHeight="1">
      <c r="A200" s="61">
        <v>199</v>
      </c>
      <c r="B200" s="61">
        <v>8421</v>
      </c>
      <c r="C200" s="62" t="s">
        <v>594</v>
      </c>
      <c r="D200" s="61" t="s">
        <v>348</v>
      </c>
      <c r="E200" s="61" t="s">
        <v>147</v>
      </c>
      <c r="F200" s="61" t="s">
        <v>595</v>
      </c>
      <c r="G200" s="61" t="s">
        <v>596</v>
      </c>
      <c r="H200" s="61" t="s">
        <v>595</v>
      </c>
      <c r="I200" s="61" t="s">
        <v>73</v>
      </c>
      <c r="J200" s="61" t="s">
        <v>20</v>
      </c>
      <c r="K200" s="61" t="s">
        <v>597</v>
      </c>
      <c r="L200" s="61">
        <v>555518609</v>
      </c>
      <c r="M200" s="61">
        <v>17</v>
      </c>
      <c r="N200" s="61"/>
    </row>
    <row r="201" spans="1:14" ht="23.45" customHeight="1">
      <c r="A201" s="63">
        <v>200</v>
      </c>
      <c r="B201" s="63">
        <v>18507</v>
      </c>
      <c r="C201" s="64" t="s">
        <v>598</v>
      </c>
      <c r="D201" s="63" t="s">
        <v>348</v>
      </c>
      <c r="E201" s="63" t="s">
        <v>28</v>
      </c>
      <c r="F201" s="63" t="s">
        <v>599</v>
      </c>
      <c r="G201" s="63" t="s">
        <v>30</v>
      </c>
      <c r="H201" s="63" t="s">
        <v>599</v>
      </c>
      <c r="I201" s="63" t="s">
        <v>19</v>
      </c>
      <c r="J201" s="63" t="s">
        <v>20</v>
      </c>
      <c r="K201" s="63" t="s">
        <v>600</v>
      </c>
      <c r="L201" s="63">
        <v>506603451</v>
      </c>
      <c r="M201" s="63">
        <v>17</v>
      </c>
      <c r="N201" s="63"/>
    </row>
    <row r="202" spans="1:14" ht="23.45" customHeight="1">
      <c r="A202" s="61">
        <v>201</v>
      </c>
      <c r="B202" s="61">
        <v>6537</v>
      </c>
      <c r="C202" s="62" t="s">
        <v>601</v>
      </c>
      <c r="D202" s="61" t="s">
        <v>348</v>
      </c>
      <c r="E202" s="61" t="s">
        <v>28</v>
      </c>
      <c r="F202" s="61" t="s">
        <v>602</v>
      </c>
      <c r="G202" s="61" t="s">
        <v>30</v>
      </c>
      <c r="H202" s="61" t="s">
        <v>589</v>
      </c>
      <c r="I202" s="61" t="s">
        <v>19</v>
      </c>
      <c r="J202" s="61" t="s">
        <v>20</v>
      </c>
      <c r="K202" s="61" t="s">
        <v>603</v>
      </c>
      <c r="L202" s="61">
        <v>505679647</v>
      </c>
      <c r="M202" s="61">
        <v>17</v>
      </c>
      <c r="N202" s="61"/>
    </row>
    <row r="203" spans="1:14" ht="23.45" customHeight="1">
      <c r="A203" s="63">
        <v>202</v>
      </c>
      <c r="B203" s="63">
        <v>6150</v>
      </c>
      <c r="C203" s="64" t="s">
        <v>604</v>
      </c>
      <c r="D203" s="63" t="s">
        <v>348</v>
      </c>
      <c r="E203" s="63" t="s">
        <v>147</v>
      </c>
      <c r="F203" s="63" t="s">
        <v>605</v>
      </c>
      <c r="G203" s="63" t="s">
        <v>606</v>
      </c>
      <c r="H203" s="63" t="s">
        <v>607</v>
      </c>
      <c r="I203" s="63" t="s">
        <v>142</v>
      </c>
      <c r="J203" s="63" t="s">
        <v>20</v>
      </c>
      <c r="K203" s="63" t="s">
        <v>608</v>
      </c>
      <c r="L203" s="63">
        <v>553322369</v>
      </c>
      <c r="M203" s="63">
        <v>17</v>
      </c>
      <c r="N203" s="63"/>
    </row>
    <row r="204" spans="1:14" ht="23.45" customHeight="1">
      <c r="A204" s="61">
        <v>203</v>
      </c>
      <c r="B204" s="61">
        <v>8693</v>
      </c>
      <c r="C204" s="62" t="s">
        <v>609</v>
      </c>
      <c r="D204" s="61" t="s">
        <v>348</v>
      </c>
      <c r="E204" s="61" t="s">
        <v>28</v>
      </c>
      <c r="F204" s="61" t="s">
        <v>610</v>
      </c>
      <c r="G204" s="61" t="s">
        <v>30</v>
      </c>
      <c r="H204" s="61" t="s">
        <v>611</v>
      </c>
      <c r="I204" s="61" t="s">
        <v>55</v>
      </c>
      <c r="J204" s="61" t="s">
        <v>20</v>
      </c>
      <c r="K204" s="61" t="s">
        <v>612</v>
      </c>
      <c r="L204" s="61">
        <v>598847882</v>
      </c>
      <c r="M204" s="61">
        <v>17</v>
      </c>
      <c r="N204" s="61"/>
    </row>
    <row r="205" spans="1:14" ht="23.45" customHeight="1">
      <c r="A205" s="63">
        <v>204</v>
      </c>
      <c r="B205" s="63">
        <v>9691</v>
      </c>
      <c r="C205" s="64" t="s">
        <v>613</v>
      </c>
      <c r="D205" s="63" t="s">
        <v>348</v>
      </c>
      <c r="E205" s="63" t="s">
        <v>16</v>
      </c>
      <c r="F205" s="63" t="s">
        <v>614</v>
      </c>
      <c r="G205" s="63" t="s">
        <v>615</v>
      </c>
      <c r="H205" s="63" t="s">
        <v>614</v>
      </c>
      <c r="I205" s="63" t="s">
        <v>73</v>
      </c>
      <c r="J205" s="63" t="s">
        <v>20</v>
      </c>
      <c r="K205" s="63" t="s">
        <v>616</v>
      </c>
      <c r="L205" s="63">
        <v>504621073</v>
      </c>
      <c r="M205" s="63">
        <v>17</v>
      </c>
      <c r="N205" s="63"/>
    </row>
    <row r="206" spans="1:14" ht="23.45" customHeight="1">
      <c r="A206" s="61">
        <v>205</v>
      </c>
      <c r="B206" s="61">
        <v>4826</v>
      </c>
      <c r="C206" s="62" t="s">
        <v>617</v>
      </c>
      <c r="D206" s="61" t="s">
        <v>348</v>
      </c>
      <c r="E206" s="61" t="s">
        <v>16</v>
      </c>
      <c r="F206" s="61" t="s">
        <v>614</v>
      </c>
      <c r="G206" s="61" t="s">
        <v>618</v>
      </c>
      <c r="H206" s="61" t="s">
        <v>614</v>
      </c>
      <c r="I206" s="61" t="s">
        <v>19</v>
      </c>
      <c r="J206" s="61" t="s">
        <v>20</v>
      </c>
      <c r="K206" s="61" t="s">
        <v>619</v>
      </c>
      <c r="L206" s="61">
        <v>504303171</v>
      </c>
      <c r="M206" s="61">
        <v>17</v>
      </c>
      <c r="N206" s="61"/>
    </row>
    <row r="207" spans="1:14" ht="23.45" customHeight="1">
      <c r="A207" s="63">
        <v>206</v>
      </c>
      <c r="B207" s="63">
        <v>896</v>
      </c>
      <c r="C207" s="64" t="s">
        <v>620</v>
      </c>
      <c r="D207" s="63" t="s">
        <v>348</v>
      </c>
      <c r="E207" s="63" t="s">
        <v>16</v>
      </c>
      <c r="F207" s="63" t="s">
        <v>614</v>
      </c>
      <c r="G207" s="63" t="s">
        <v>606</v>
      </c>
      <c r="H207" s="63" t="s">
        <v>614</v>
      </c>
      <c r="I207" s="63" t="s">
        <v>19</v>
      </c>
      <c r="J207" s="63" t="s">
        <v>20</v>
      </c>
      <c r="K207" s="63" t="s">
        <v>621</v>
      </c>
      <c r="L207" s="63">
        <v>560066905</v>
      </c>
      <c r="M207" s="63">
        <v>17</v>
      </c>
      <c r="N207" s="63"/>
    </row>
    <row r="208" spans="1:14" ht="23.45" customHeight="1">
      <c r="A208" s="61">
        <v>207</v>
      </c>
      <c r="B208" s="61">
        <v>9077</v>
      </c>
      <c r="C208" s="62" t="s">
        <v>622</v>
      </c>
      <c r="D208" s="61" t="s">
        <v>348</v>
      </c>
      <c r="E208" s="61" t="s">
        <v>16</v>
      </c>
      <c r="F208" s="61" t="s">
        <v>623</v>
      </c>
      <c r="G208" s="61" t="s">
        <v>30</v>
      </c>
      <c r="H208" s="61" t="s">
        <v>623</v>
      </c>
      <c r="I208" s="61" t="s">
        <v>19</v>
      </c>
      <c r="J208" s="61" t="s">
        <v>20</v>
      </c>
      <c r="K208" s="61" t="s">
        <v>624</v>
      </c>
      <c r="L208" s="61">
        <v>504616475</v>
      </c>
      <c r="M208" s="61">
        <v>17</v>
      </c>
      <c r="N208" s="61"/>
    </row>
    <row r="209" spans="1:14" ht="23.45" customHeight="1">
      <c r="A209" s="63">
        <v>208</v>
      </c>
      <c r="B209" s="63">
        <v>1116</v>
      </c>
      <c r="C209" s="64" t="s">
        <v>625</v>
      </c>
      <c r="D209" s="63" t="s">
        <v>348</v>
      </c>
      <c r="E209" s="63" t="s">
        <v>16</v>
      </c>
      <c r="F209" s="63" t="s">
        <v>626</v>
      </c>
      <c r="G209" s="63" t="s">
        <v>627</v>
      </c>
      <c r="H209" s="63" t="s">
        <v>413</v>
      </c>
      <c r="I209" s="63" t="s">
        <v>19</v>
      </c>
      <c r="J209" s="63" t="s">
        <v>20</v>
      </c>
      <c r="K209" s="63" t="s">
        <v>628</v>
      </c>
      <c r="L209" s="63">
        <v>534583103</v>
      </c>
      <c r="M209" s="63">
        <v>17</v>
      </c>
      <c r="N209" s="63"/>
    </row>
    <row r="210" spans="1:14" ht="23.45" customHeight="1">
      <c r="A210" s="61">
        <v>209</v>
      </c>
      <c r="B210" s="61">
        <v>8426</v>
      </c>
      <c r="C210" s="62" t="s">
        <v>629</v>
      </c>
      <c r="D210" s="61" t="s">
        <v>348</v>
      </c>
      <c r="E210" s="61" t="s">
        <v>28</v>
      </c>
      <c r="F210" s="61" t="s">
        <v>630</v>
      </c>
      <c r="G210" s="61" t="s">
        <v>630</v>
      </c>
      <c r="H210" s="61" t="s">
        <v>630</v>
      </c>
      <c r="I210" s="61" t="s">
        <v>55</v>
      </c>
      <c r="J210" s="61" t="s">
        <v>20</v>
      </c>
      <c r="K210" s="61" t="s">
        <v>631</v>
      </c>
      <c r="L210" s="61">
        <v>553034245</v>
      </c>
      <c r="M210" s="61">
        <v>17</v>
      </c>
      <c r="N210" s="61"/>
    </row>
    <row r="211" spans="1:14" ht="23.45" customHeight="1">
      <c r="A211" s="63">
        <v>210</v>
      </c>
      <c r="B211" s="63">
        <v>17712</v>
      </c>
      <c r="C211" s="64" t="s">
        <v>632</v>
      </c>
      <c r="D211" s="63" t="s">
        <v>348</v>
      </c>
      <c r="E211" s="63" t="s">
        <v>16</v>
      </c>
      <c r="F211" s="63" t="s">
        <v>606</v>
      </c>
      <c r="G211" s="63"/>
      <c r="H211" s="63" t="s">
        <v>606</v>
      </c>
      <c r="I211" s="63" t="s">
        <v>55</v>
      </c>
      <c r="J211" s="63" t="s">
        <v>20</v>
      </c>
      <c r="K211" s="63" t="s">
        <v>633</v>
      </c>
      <c r="L211" s="63">
        <v>122903864</v>
      </c>
      <c r="M211" s="63">
        <v>17</v>
      </c>
      <c r="N211" s="63"/>
    </row>
    <row r="212" spans="1:14" ht="23.45" customHeight="1">
      <c r="A212" s="61">
        <v>211</v>
      </c>
      <c r="B212" s="61">
        <v>18001</v>
      </c>
      <c r="C212" s="62" t="s">
        <v>634</v>
      </c>
      <c r="D212" s="61" t="s">
        <v>348</v>
      </c>
      <c r="E212" s="61" t="s">
        <v>16</v>
      </c>
      <c r="F212" s="61" t="s">
        <v>635</v>
      </c>
      <c r="G212" s="61" t="s">
        <v>599</v>
      </c>
      <c r="H212" s="61" t="s">
        <v>606</v>
      </c>
      <c r="I212" s="61" t="s">
        <v>19</v>
      </c>
      <c r="J212" s="61" t="s">
        <v>20</v>
      </c>
      <c r="K212" s="61" t="s">
        <v>636</v>
      </c>
      <c r="L212" s="61">
        <v>557544666</v>
      </c>
      <c r="M212" s="61">
        <v>17</v>
      </c>
      <c r="N212" s="61"/>
    </row>
    <row r="213" spans="1:14" ht="23.45" customHeight="1">
      <c r="A213" s="63">
        <v>212</v>
      </c>
      <c r="B213" s="63">
        <v>6234</v>
      </c>
      <c r="C213" s="64" t="s">
        <v>637</v>
      </c>
      <c r="D213" s="63" t="s">
        <v>348</v>
      </c>
      <c r="E213" s="63" t="s">
        <v>134</v>
      </c>
      <c r="F213" s="63" t="s">
        <v>473</v>
      </c>
      <c r="G213" s="63" t="s">
        <v>30</v>
      </c>
      <c r="H213" s="63" t="s">
        <v>473</v>
      </c>
      <c r="I213" s="63" t="s">
        <v>55</v>
      </c>
      <c r="J213" s="63" t="s">
        <v>20</v>
      </c>
      <c r="K213" s="63" t="s">
        <v>638</v>
      </c>
      <c r="L213" s="63">
        <v>580433550</v>
      </c>
      <c r="M213" s="63">
        <v>17</v>
      </c>
      <c r="N213" s="63"/>
    </row>
    <row r="214" spans="1:14" ht="23.45" customHeight="1">
      <c r="A214" s="61">
        <v>213</v>
      </c>
      <c r="B214" s="61">
        <v>18464</v>
      </c>
      <c r="C214" s="62" t="s">
        <v>639</v>
      </c>
      <c r="D214" s="61" t="s">
        <v>348</v>
      </c>
      <c r="E214" s="61" t="s">
        <v>28</v>
      </c>
      <c r="F214" s="61" t="s">
        <v>599</v>
      </c>
      <c r="G214" s="61" t="s">
        <v>30</v>
      </c>
      <c r="H214" s="61" t="s">
        <v>599</v>
      </c>
      <c r="I214" s="61" t="s">
        <v>19</v>
      </c>
      <c r="J214" s="61" t="s">
        <v>20</v>
      </c>
      <c r="K214" s="61" t="s">
        <v>640</v>
      </c>
      <c r="L214" s="61">
        <v>506612773</v>
      </c>
      <c r="M214" s="61">
        <v>17</v>
      </c>
      <c r="N214" s="61"/>
    </row>
    <row r="215" spans="1:14" ht="23.45" customHeight="1">
      <c r="A215" s="63">
        <v>214</v>
      </c>
      <c r="B215" s="63">
        <v>18436</v>
      </c>
      <c r="C215" s="64" t="s">
        <v>641</v>
      </c>
      <c r="D215" s="63" t="s">
        <v>348</v>
      </c>
      <c r="E215" s="63" t="s">
        <v>16</v>
      </c>
      <c r="F215" s="63" t="s">
        <v>413</v>
      </c>
      <c r="G215" s="63" t="s">
        <v>30</v>
      </c>
      <c r="H215" s="63" t="s">
        <v>606</v>
      </c>
      <c r="I215" s="63" t="s">
        <v>19</v>
      </c>
      <c r="J215" s="63" t="s">
        <v>20</v>
      </c>
      <c r="K215" s="63" t="s">
        <v>642</v>
      </c>
      <c r="L215" s="63">
        <v>562513432</v>
      </c>
      <c r="M215" s="63">
        <v>17</v>
      </c>
      <c r="N215" s="63"/>
    </row>
    <row r="216" spans="1:14" ht="23.45" customHeight="1">
      <c r="A216" s="61">
        <v>215</v>
      </c>
      <c r="B216" s="61">
        <v>6242</v>
      </c>
      <c r="C216" s="62" t="s">
        <v>643</v>
      </c>
      <c r="D216" s="61" t="s">
        <v>348</v>
      </c>
      <c r="E216" s="61" t="s">
        <v>16</v>
      </c>
      <c r="F216" s="61" t="s">
        <v>614</v>
      </c>
      <c r="G216" s="61" t="s">
        <v>596</v>
      </c>
      <c r="H216" s="61" t="s">
        <v>614</v>
      </c>
      <c r="I216" s="61" t="s">
        <v>19</v>
      </c>
      <c r="J216" s="61" t="s">
        <v>20</v>
      </c>
      <c r="K216" s="61" t="s">
        <v>644</v>
      </c>
      <c r="L216" s="61">
        <v>555521995</v>
      </c>
      <c r="M216" s="61">
        <v>17</v>
      </c>
      <c r="N216" s="61"/>
    </row>
    <row r="217" spans="1:14" ht="23.45" customHeight="1">
      <c r="A217" s="63">
        <v>216</v>
      </c>
      <c r="B217" s="63">
        <v>4757</v>
      </c>
      <c r="C217" s="64" t="s">
        <v>645</v>
      </c>
      <c r="D217" s="63" t="s">
        <v>348</v>
      </c>
      <c r="E217" s="63" t="s">
        <v>147</v>
      </c>
      <c r="F217" s="63" t="s">
        <v>646</v>
      </c>
      <c r="G217" s="63" t="s">
        <v>647</v>
      </c>
      <c r="H217" s="63" t="s">
        <v>646</v>
      </c>
      <c r="I217" s="63" t="s">
        <v>73</v>
      </c>
      <c r="J217" s="63" t="s">
        <v>20</v>
      </c>
      <c r="K217" s="63" t="s">
        <v>648</v>
      </c>
      <c r="L217" s="63">
        <v>555610553</v>
      </c>
      <c r="M217" s="63">
        <v>17</v>
      </c>
      <c r="N217" s="63"/>
    </row>
    <row r="218" spans="1:14" ht="23.45" customHeight="1">
      <c r="A218" s="61">
        <v>217</v>
      </c>
      <c r="B218" s="61">
        <v>18119</v>
      </c>
      <c r="C218" s="62" t="s">
        <v>649</v>
      </c>
      <c r="D218" s="61" t="s">
        <v>348</v>
      </c>
      <c r="E218" s="61" t="s">
        <v>16</v>
      </c>
      <c r="F218" s="61" t="s">
        <v>606</v>
      </c>
      <c r="G218" s="61" t="s">
        <v>348</v>
      </c>
      <c r="H218" s="61" t="s">
        <v>348</v>
      </c>
      <c r="I218" s="61" t="s">
        <v>19</v>
      </c>
      <c r="J218" s="61" t="s">
        <v>20</v>
      </c>
      <c r="K218" s="61" t="s">
        <v>650</v>
      </c>
      <c r="L218" s="61">
        <v>542902680</v>
      </c>
      <c r="M218" s="61">
        <v>17</v>
      </c>
      <c r="N218" s="61"/>
    </row>
    <row r="219" spans="1:14" ht="23.45" customHeight="1">
      <c r="A219" s="63">
        <v>218</v>
      </c>
      <c r="B219" s="63">
        <v>13449</v>
      </c>
      <c r="C219" s="64" t="s">
        <v>651</v>
      </c>
      <c r="D219" s="63" t="s">
        <v>348</v>
      </c>
      <c r="E219" s="63" t="s">
        <v>28</v>
      </c>
      <c r="F219" s="63" t="s">
        <v>611</v>
      </c>
      <c r="G219" s="63" t="s">
        <v>30</v>
      </c>
      <c r="H219" s="63" t="s">
        <v>611</v>
      </c>
      <c r="I219" s="63" t="s">
        <v>19</v>
      </c>
      <c r="J219" s="63" t="s">
        <v>20</v>
      </c>
      <c r="K219" s="63" t="s">
        <v>652</v>
      </c>
      <c r="L219" s="63">
        <v>503339950</v>
      </c>
      <c r="M219" s="63">
        <v>17</v>
      </c>
      <c r="N219" s="63"/>
    </row>
    <row r="220" spans="1:14" ht="23.45" customHeight="1">
      <c r="A220" s="61">
        <v>219</v>
      </c>
      <c r="B220" s="61">
        <v>14103</v>
      </c>
      <c r="C220" s="62" t="s">
        <v>653</v>
      </c>
      <c r="D220" s="61" t="s">
        <v>348</v>
      </c>
      <c r="E220" s="61" t="s">
        <v>147</v>
      </c>
      <c r="F220" s="61" t="s">
        <v>607</v>
      </c>
      <c r="G220" s="61" t="s">
        <v>654</v>
      </c>
      <c r="H220" s="61" t="s">
        <v>607</v>
      </c>
      <c r="I220" s="61" t="s">
        <v>73</v>
      </c>
      <c r="J220" s="61" t="s">
        <v>20</v>
      </c>
      <c r="K220" s="61" t="s">
        <v>655</v>
      </c>
      <c r="L220" s="61">
        <v>504534995</v>
      </c>
      <c r="M220" s="61">
        <v>17</v>
      </c>
      <c r="N220" s="61"/>
    </row>
    <row r="221" spans="1:14" ht="23.45" customHeight="1">
      <c r="A221" s="63">
        <v>220</v>
      </c>
      <c r="B221" s="63">
        <v>11303</v>
      </c>
      <c r="C221" s="64" t="s">
        <v>656</v>
      </c>
      <c r="D221" s="63" t="s">
        <v>348</v>
      </c>
      <c r="E221" s="63" t="s">
        <v>28</v>
      </c>
      <c r="F221" s="63" t="s">
        <v>589</v>
      </c>
      <c r="G221" s="63" t="s">
        <v>30</v>
      </c>
      <c r="H221" s="63" t="s">
        <v>589</v>
      </c>
      <c r="I221" s="63" t="s">
        <v>19</v>
      </c>
      <c r="J221" s="63" t="s">
        <v>20</v>
      </c>
      <c r="K221" s="63" t="s">
        <v>657</v>
      </c>
      <c r="L221" s="63">
        <v>562111540</v>
      </c>
      <c r="M221" s="63">
        <v>17</v>
      </c>
      <c r="N221" s="63"/>
    </row>
    <row r="222" spans="1:14" ht="23.45" customHeight="1">
      <c r="A222" s="61">
        <v>221</v>
      </c>
      <c r="B222" s="61">
        <v>17230</v>
      </c>
      <c r="C222" s="62" t="s">
        <v>658</v>
      </c>
      <c r="D222" s="61" t="s">
        <v>348</v>
      </c>
      <c r="E222" s="61" t="s">
        <v>16</v>
      </c>
      <c r="F222" s="61" t="s">
        <v>606</v>
      </c>
      <c r="G222" s="61" t="s">
        <v>606</v>
      </c>
      <c r="H222" s="61" t="s">
        <v>606</v>
      </c>
      <c r="I222" s="61" t="s">
        <v>19</v>
      </c>
      <c r="J222" s="61" t="s">
        <v>20</v>
      </c>
      <c r="K222" s="61" t="s">
        <v>659</v>
      </c>
      <c r="L222" s="61">
        <v>503357260</v>
      </c>
      <c r="M222" s="61">
        <v>17</v>
      </c>
      <c r="N222" s="61"/>
    </row>
    <row r="223" spans="1:14" ht="23.45" customHeight="1">
      <c r="A223" s="63">
        <v>222</v>
      </c>
      <c r="B223" s="63">
        <v>12515</v>
      </c>
      <c r="C223" s="64" t="s">
        <v>660</v>
      </c>
      <c r="D223" s="63" t="s">
        <v>348</v>
      </c>
      <c r="E223" s="63" t="s">
        <v>16</v>
      </c>
      <c r="F223" s="63" t="s">
        <v>358</v>
      </c>
      <c r="G223" s="63"/>
      <c r="H223" s="63" t="s">
        <v>358</v>
      </c>
      <c r="I223" s="63" t="s">
        <v>73</v>
      </c>
      <c r="J223" s="63" t="s">
        <v>20</v>
      </c>
      <c r="K223" s="63" t="s">
        <v>661</v>
      </c>
      <c r="L223" s="63">
        <v>500040077</v>
      </c>
      <c r="M223" s="63">
        <v>17</v>
      </c>
      <c r="N223" s="63"/>
    </row>
    <row r="224" spans="1:14" ht="23.45" customHeight="1">
      <c r="A224" s="61">
        <v>223</v>
      </c>
      <c r="B224" s="61">
        <v>16425</v>
      </c>
      <c r="C224" s="62" t="s">
        <v>662</v>
      </c>
      <c r="D224" s="61" t="s">
        <v>663</v>
      </c>
      <c r="E224" s="61" t="s">
        <v>28</v>
      </c>
      <c r="F224" s="61" t="s">
        <v>664</v>
      </c>
      <c r="G224" s="61"/>
      <c r="H224" s="61" t="s">
        <v>664</v>
      </c>
      <c r="I224" s="61" t="s">
        <v>19</v>
      </c>
      <c r="J224" s="61" t="s">
        <v>20</v>
      </c>
      <c r="K224" s="61" t="s">
        <v>665</v>
      </c>
      <c r="L224" s="61">
        <v>500002665</v>
      </c>
      <c r="M224" s="61">
        <v>15</v>
      </c>
      <c r="N224" s="61"/>
    </row>
    <row r="225" spans="1:14" ht="23.45" customHeight="1">
      <c r="A225" s="63">
        <v>224</v>
      </c>
      <c r="B225" s="63">
        <v>12683</v>
      </c>
      <c r="C225" s="64" t="s">
        <v>666</v>
      </c>
      <c r="D225" s="63" t="s">
        <v>663</v>
      </c>
      <c r="E225" s="63" t="s">
        <v>28</v>
      </c>
      <c r="F225" s="63" t="s">
        <v>667</v>
      </c>
      <c r="G225" s="63" t="s">
        <v>30</v>
      </c>
      <c r="H225" s="63" t="s">
        <v>668</v>
      </c>
      <c r="I225" s="63" t="s">
        <v>19</v>
      </c>
      <c r="J225" s="63" t="s">
        <v>20</v>
      </c>
      <c r="K225" s="63" t="s">
        <v>669</v>
      </c>
      <c r="L225" s="63">
        <v>504643841</v>
      </c>
      <c r="M225" s="63">
        <v>15</v>
      </c>
      <c r="N225" s="63"/>
    </row>
    <row r="226" spans="1:14" ht="23.45" customHeight="1">
      <c r="A226" s="61">
        <v>225</v>
      </c>
      <c r="B226" s="61">
        <v>15517</v>
      </c>
      <c r="C226" s="62" t="s">
        <v>670</v>
      </c>
      <c r="D226" s="61" t="s">
        <v>663</v>
      </c>
      <c r="E226" s="61" t="s">
        <v>28</v>
      </c>
      <c r="F226" s="61" t="s">
        <v>671</v>
      </c>
      <c r="G226" s="61" t="s">
        <v>30</v>
      </c>
      <c r="H226" s="61" t="s">
        <v>671</v>
      </c>
      <c r="I226" s="61" t="s">
        <v>19</v>
      </c>
      <c r="J226" s="61" t="s">
        <v>20</v>
      </c>
      <c r="K226" s="61" t="s">
        <v>672</v>
      </c>
      <c r="L226" s="61">
        <v>555776024</v>
      </c>
      <c r="M226" s="61">
        <v>15</v>
      </c>
      <c r="N226" s="61"/>
    </row>
    <row r="227" spans="1:14" ht="23.45" customHeight="1">
      <c r="A227" s="63">
        <v>226</v>
      </c>
      <c r="B227" s="63">
        <v>9403</v>
      </c>
      <c r="C227" s="64" t="s">
        <v>673</v>
      </c>
      <c r="D227" s="63" t="s">
        <v>663</v>
      </c>
      <c r="E227" s="63" t="s">
        <v>16</v>
      </c>
      <c r="F227" s="63" t="s">
        <v>664</v>
      </c>
      <c r="G227" s="63" t="s">
        <v>664</v>
      </c>
      <c r="H227" s="63" t="s">
        <v>664</v>
      </c>
      <c r="I227" s="63" t="s">
        <v>73</v>
      </c>
      <c r="J227" s="63" t="s">
        <v>20</v>
      </c>
      <c r="K227" s="63" t="s">
        <v>674</v>
      </c>
      <c r="L227" s="63">
        <v>505625217</v>
      </c>
      <c r="M227" s="63">
        <v>15</v>
      </c>
      <c r="N227" s="63"/>
    </row>
    <row r="228" spans="1:14" ht="23.45" customHeight="1">
      <c r="A228" s="61">
        <v>227</v>
      </c>
      <c r="B228" s="61">
        <v>9276</v>
      </c>
      <c r="C228" s="62" t="s">
        <v>675</v>
      </c>
      <c r="D228" s="61" t="s">
        <v>663</v>
      </c>
      <c r="E228" s="61" t="s">
        <v>16</v>
      </c>
      <c r="F228" s="61" t="s">
        <v>676</v>
      </c>
      <c r="G228" s="61" t="s">
        <v>676</v>
      </c>
      <c r="H228" s="61" t="s">
        <v>676</v>
      </c>
      <c r="I228" s="61" t="s">
        <v>19</v>
      </c>
      <c r="J228" s="61" t="s">
        <v>20</v>
      </c>
      <c r="K228" s="61" t="s">
        <v>677</v>
      </c>
      <c r="L228" s="61">
        <v>501595925</v>
      </c>
      <c r="M228" s="61">
        <v>15</v>
      </c>
      <c r="N228" s="61"/>
    </row>
    <row r="229" spans="1:14" ht="23.45" customHeight="1">
      <c r="A229" s="63">
        <v>228</v>
      </c>
      <c r="B229" s="63">
        <v>27196</v>
      </c>
      <c r="C229" s="64" t="s">
        <v>678</v>
      </c>
      <c r="D229" s="63" t="s">
        <v>663</v>
      </c>
      <c r="E229" s="63" t="s">
        <v>16</v>
      </c>
      <c r="F229" s="63" t="s">
        <v>664</v>
      </c>
      <c r="G229" s="63" t="s">
        <v>30</v>
      </c>
      <c r="H229" s="63" t="s">
        <v>664</v>
      </c>
      <c r="I229" s="63" t="s">
        <v>73</v>
      </c>
      <c r="J229" s="63" t="s">
        <v>20</v>
      </c>
      <c r="K229" s="63" t="s">
        <v>679</v>
      </c>
      <c r="L229" s="63">
        <v>535519582</v>
      </c>
      <c r="M229" s="63">
        <v>15</v>
      </c>
      <c r="N229" s="63"/>
    </row>
    <row r="230" spans="1:14" ht="23.45" customHeight="1">
      <c r="A230" s="61">
        <v>229</v>
      </c>
      <c r="B230" s="61">
        <v>11579</v>
      </c>
      <c r="C230" s="62" t="s">
        <v>680</v>
      </c>
      <c r="D230" s="61" t="s">
        <v>663</v>
      </c>
      <c r="E230" s="61" t="s">
        <v>16</v>
      </c>
      <c r="F230" s="61" t="s">
        <v>681</v>
      </c>
      <c r="G230" s="61" t="s">
        <v>682</v>
      </c>
      <c r="H230" s="61" t="s">
        <v>681</v>
      </c>
      <c r="I230" s="61" t="s">
        <v>19</v>
      </c>
      <c r="J230" s="61" t="s">
        <v>20</v>
      </c>
      <c r="K230" s="61" t="s">
        <v>683</v>
      </c>
      <c r="L230" s="61">
        <v>505626067</v>
      </c>
      <c r="M230" s="61">
        <v>15</v>
      </c>
      <c r="N230" s="61"/>
    </row>
    <row r="231" spans="1:14" ht="23.45" customHeight="1">
      <c r="A231" s="63">
        <v>230</v>
      </c>
      <c r="B231" s="63">
        <v>11200</v>
      </c>
      <c r="C231" s="64" t="s">
        <v>684</v>
      </c>
      <c r="D231" s="63" t="s">
        <v>663</v>
      </c>
      <c r="E231" s="63" t="s">
        <v>16</v>
      </c>
      <c r="F231" s="63"/>
      <c r="G231" s="63" t="s">
        <v>685</v>
      </c>
      <c r="H231" s="63" t="s">
        <v>686</v>
      </c>
      <c r="I231" s="63" t="s">
        <v>73</v>
      </c>
      <c r="J231" s="63" t="s">
        <v>20</v>
      </c>
      <c r="K231" s="63" t="s">
        <v>687</v>
      </c>
      <c r="L231" s="63">
        <v>555749784</v>
      </c>
      <c r="M231" s="63">
        <v>15</v>
      </c>
      <c r="N231" s="63"/>
    </row>
    <row r="232" spans="1:14" ht="23.45" customHeight="1">
      <c r="A232" s="61">
        <v>231</v>
      </c>
      <c r="B232" s="61">
        <v>6500</v>
      </c>
      <c r="C232" s="62" t="s">
        <v>688</v>
      </c>
      <c r="D232" s="61" t="s">
        <v>663</v>
      </c>
      <c r="E232" s="61" t="s">
        <v>16</v>
      </c>
      <c r="F232" s="61" t="s">
        <v>689</v>
      </c>
      <c r="G232" s="61" t="s">
        <v>689</v>
      </c>
      <c r="H232" s="61" t="s">
        <v>689</v>
      </c>
      <c r="I232" s="61" t="s">
        <v>73</v>
      </c>
      <c r="J232" s="61" t="s">
        <v>20</v>
      </c>
      <c r="K232" s="61" t="s">
        <v>690</v>
      </c>
      <c r="L232" s="61">
        <v>504613742</v>
      </c>
      <c r="M232" s="61">
        <v>15</v>
      </c>
      <c r="N232" s="61"/>
    </row>
    <row r="233" spans="1:14" ht="23.45" customHeight="1">
      <c r="A233" s="63">
        <v>232</v>
      </c>
      <c r="B233" s="63">
        <v>10974</v>
      </c>
      <c r="C233" s="64" t="s">
        <v>691</v>
      </c>
      <c r="D233" s="63" t="s">
        <v>663</v>
      </c>
      <c r="E233" s="63" t="s">
        <v>16</v>
      </c>
      <c r="F233" s="63"/>
      <c r="G233" s="63" t="s">
        <v>676</v>
      </c>
      <c r="H233" s="63" t="s">
        <v>676</v>
      </c>
      <c r="I233" s="63" t="s">
        <v>19</v>
      </c>
      <c r="J233" s="63" t="s">
        <v>20</v>
      </c>
      <c r="K233" s="63" t="s">
        <v>692</v>
      </c>
      <c r="L233" s="63">
        <v>507767037</v>
      </c>
      <c r="M233" s="63">
        <v>15</v>
      </c>
      <c r="N233" s="63"/>
    </row>
    <row r="234" spans="1:14" ht="23.45" customHeight="1">
      <c r="A234" s="61">
        <v>233</v>
      </c>
      <c r="B234" s="61">
        <v>12684</v>
      </c>
      <c r="C234" s="62" t="s">
        <v>693</v>
      </c>
      <c r="D234" s="61" t="s">
        <v>663</v>
      </c>
      <c r="E234" s="61" t="s">
        <v>16</v>
      </c>
      <c r="F234" s="61" t="s">
        <v>694</v>
      </c>
      <c r="G234" s="61" t="s">
        <v>695</v>
      </c>
      <c r="H234" s="61" t="s">
        <v>694</v>
      </c>
      <c r="I234" s="61" t="s">
        <v>19</v>
      </c>
      <c r="J234" s="61" t="s">
        <v>20</v>
      </c>
      <c r="K234" s="61" t="s">
        <v>696</v>
      </c>
      <c r="L234" s="61">
        <v>556693970</v>
      </c>
      <c r="M234" s="61">
        <v>15</v>
      </c>
      <c r="N234" s="61"/>
    </row>
    <row r="235" spans="1:14" ht="23.45" customHeight="1">
      <c r="A235" s="63">
        <v>234</v>
      </c>
      <c r="B235" s="63">
        <v>15043</v>
      </c>
      <c r="C235" s="64" t="s">
        <v>697</v>
      </c>
      <c r="D235" s="63" t="s">
        <v>663</v>
      </c>
      <c r="E235" s="63" t="s">
        <v>28</v>
      </c>
      <c r="F235" s="63" t="s">
        <v>698</v>
      </c>
      <c r="G235" s="63" t="s">
        <v>699</v>
      </c>
      <c r="H235" s="63" t="s">
        <v>699</v>
      </c>
      <c r="I235" s="63" t="s">
        <v>19</v>
      </c>
      <c r="J235" s="63" t="s">
        <v>20</v>
      </c>
      <c r="K235" s="63" t="s">
        <v>700</v>
      </c>
      <c r="L235" s="63">
        <v>506361056</v>
      </c>
      <c r="M235" s="63">
        <v>15</v>
      </c>
      <c r="N235" s="63"/>
    </row>
    <row r="236" spans="1:14" ht="23.45" customHeight="1">
      <c r="A236" s="61">
        <v>235</v>
      </c>
      <c r="B236" s="61">
        <v>13498</v>
      </c>
      <c r="C236" s="62" t="s">
        <v>701</v>
      </c>
      <c r="D236" s="61" t="s">
        <v>663</v>
      </c>
      <c r="E236" s="61" t="s">
        <v>28</v>
      </c>
      <c r="F236" s="61" t="s">
        <v>702</v>
      </c>
      <c r="G236" s="61" t="s">
        <v>702</v>
      </c>
      <c r="H236" s="61" t="s">
        <v>702</v>
      </c>
      <c r="I236" s="61" t="s">
        <v>19</v>
      </c>
      <c r="J236" s="61" t="s">
        <v>20</v>
      </c>
      <c r="K236" s="61" t="s">
        <v>703</v>
      </c>
      <c r="L236" s="61">
        <v>541514433</v>
      </c>
      <c r="M236" s="61">
        <v>15</v>
      </c>
      <c r="N236" s="61"/>
    </row>
    <row r="237" spans="1:14" ht="23.45" customHeight="1">
      <c r="A237" s="63">
        <v>236</v>
      </c>
      <c r="B237" s="63">
        <v>17477</v>
      </c>
      <c r="C237" s="64" t="s">
        <v>704</v>
      </c>
      <c r="D237" s="63" t="s">
        <v>663</v>
      </c>
      <c r="E237" s="63" t="s">
        <v>28</v>
      </c>
      <c r="F237" s="63" t="s">
        <v>705</v>
      </c>
      <c r="G237" s="63" t="s">
        <v>30</v>
      </c>
      <c r="H237" s="63" t="s">
        <v>706</v>
      </c>
      <c r="I237" s="63" t="s">
        <v>19</v>
      </c>
      <c r="J237" s="63" t="s">
        <v>20</v>
      </c>
      <c r="K237" s="63" t="s">
        <v>707</v>
      </c>
      <c r="L237" s="63">
        <v>556775172</v>
      </c>
      <c r="M237" s="63">
        <v>15</v>
      </c>
      <c r="N237" s="63"/>
    </row>
    <row r="238" spans="1:14" ht="23.45" customHeight="1">
      <c r="A238" s="61">
        <v>237</v>
      </c>
      <c r="B238" s="61">
        <v>2582</v>
      </c>
      <c r="C238" s="62" t="s">
        <v>708</v>
      </c>
      <c r="D238" s="61" t="s">
        <v>663</v>
      </c>
      <c r="E238" s="61" t="s">
        <v>16</v>
      </c>
      <c r="F238" s="61" t="s">
        <v>709</v>
      </c>
      <c r="G238" s="61"/>
      <c r="H238" s="61" t="s">
        <v>709</v>
      </c>
      <c r="I238" s="61" t="s">
        <v>73</v>
      </c>
      <c r="J238" s="61" t="s">
        <v>20</v>
      </c>
      <c r="K238" s="61" t="s">
        <v>710</v>
      </c>
      <c r="L238" s="61">
        <v>504323020</v>
      </c>
      <c r="M238" s="61">
        <v>15</v>
      </c>
      <c r="N238" s="61"/>
    </row>
    <row r="239" spans="1:14" ht="23.45" customHeight="1">
      <c r="A239" s="63">
        <v>238</v>
      </c>
      <c r="B239" s="63">
        <v>12230</v>
      </c>
      <c r="C239" s="64" t="s">
        <v>711</v>
      </c>
      <c r="D239" s="63" t="s">
        <v>663</v>
      </c>
      <c r="E239" s="63" t="s">
        <v>16</v>
      </c>
      <c r="F239" s="63" t="s">
        <v>712</v>
      </c>
      <c r="G239" s="63" t="s">
        <v>712</v>
      </c>
      <c r="H239" s="63" t="s">
        <v>713</v>
      </c>
      <c r="I239" s="63" t="s">
        <v>19</v>
      </c>
      <c r="J239" s="63" t="s">
        <v>20</v>
      </c>
      <c r="K239" s="63" t="s">
        <v>714</v>
      </c>
      <c r="L239" s="63">
        <v>590806100</v>
      </c>
      <c r="M239" s="63">
        <v>15</v>
      </c>
      <c r="N239" s="63"/>
    </row>
    <row r="240" spans="1:14" ht="23.45" customHeight="1">
      <c r="A240" s="61">
        <v>239</v>
      </c>
      <c r="B240" s="61">
        <v>1899</v>
      </c>
      <c r="C240" s="62" t="s">
        <v>715</v>
      </c>
      <c r="D240" s="61" t="s">
        <v>663</v>
      </c>
      <c r="E240" s="61" t="s">
        <v>16</v>
      </c>
      <c r="F240" s="61" t="s">
        <v>716</v>
      </c>
      <c r="G240" s="61" t="s">
        <v>717</v>
      </c>
      <c r="H240" s="61" t="s">
        <v>717</v>
      </c>
      <c r="I240" s="61" t="s">
        <v>19</v>
      </c>
      <c r="J240" s="61" t="s">
        <v>20</v>
      </c>
      <c r="K240" s="61" t="s">
        <v>718</v>
      </c>
      <c r="L240" s="61">
        <v>505641879</v>
      </c>
      <c r="M240" s="61">
        <v>15</v>
      </c>
      <c r="N240" s="61"/>
    </row>
    <row r="241" spans="1:14" ht="23.45" customHeight="1">
      <c r="A241" s="63">
        <v>240</v>
      </c>
      <c r="B241" s="63">
        <v>13784</v>
      </c>
      <c r="C241" s="64" t="s">
        <v>719</v>
      </c>
      <c r="D241" s="63" t="s">
        <v>663</v>
      </c>
      <c r="E241" s="63" t="s">
        <v>28</v>
      </c>
      <c r="F241" s="63" t="s">
        <v>720</v>
      </c>
      <c r="G241" s="63" t="s">
        <v>720</v>
      </c>
      <c r="H241" s="63" t="s">
        <v>721</v>
      </c>
      <c r="I241" s="63" t="s">
        <v>19</v>
      </c>
      <c r="J241" s="63" t="s">
        <v>20</v>
      </c>
      <c r="K241" s="63" t="s">
        <v>722</v>
      </c>
      <c r="L241" s="63">
        <v>555944439</v>
      </c>
      <c r="M241" s="63">
        <v>15</v>
      </c>
      <c r="N241" s="63"/>
    </row>
    <row r="242" spans="1:14" ht="23.45" customHeight="1">
      <c r="A242" s="61">
        <v>241</v>
      </c>
      <c r="B242" s="61">
        <v>13553</v>
      </c>
      <c r="C242" s="62" t="s">
        <v>723</v>
      </c>
      <c r="D242" s="61" t="s">
        <v>663</v>
      </c>
      <c r="E242" s="61" t="s">
        <v>16</v>
      </c>
      <c r="F242" s="61" t="s">
        <v>664</v>
      </c>
      <c r="G242" s="61" t="s">
        <v>664</v>
      </c>
      <c r="H242" s="61" t="s">
        <v>664</v>
      </c>
      <c r="I242" s="61" t="s">
        <v>19</v>
      </c>
      <c r="J242" s="61" t="s">
        <v>20</v>
      </c>
      <c r="K242" s="61" t="s">
        <v>724</v>
      </c>
      <c r="L242" s="61">
        <v>505610820</v>
      </c>
      <c r="M242" s="61">
        <v>15</v>
      </c>
      <c r="N242" s="61"/>
    </row>
    <row r="243" spans="1:14" ht="23.45" customHeight="1">
      <c r="A243" s="63">
        <v>242</v>
      </c>
      <c r="B243" s="63">
        <v>28007</v>
      </c>
      <c r="C243" s="64" t="s">
        <v>725</v>
      </c>
      <c r="D243" s="63" t="s">
        <v>663</v>
      </c>
      <c r="E243" s="63" t="s">
        <v>28</v>
      </c>
      <c r="F243" s="63"/>
      <c r="G243" s="63"/>
      <c r="H243" s="63" t="s">
        <v>726</v>
      </c>
      <c r="I243" s="63" t="s">
        <v>73</v>
      </c>
      <c r="J243" s="63" t="s">
        <v>20</v>
      </c>
      <c r="K243" s="63" t="s">
        <v>727</v>
      </c>
      <c r="L243" s="63">
        <v>599595263</v>
      </c>
      <c r="M243" s="63">
        <v>15</v>
      </c>
      <c r="N243" s="63"/>
    </row>
    <row r="244" spans="1:14" ht="23.45" customHeight="1">
      <c r="A244" s="61">
        <v>243</v>
      </c>
      <c r="B244" s="61">
        <v>14070</v>
      </c>
      <c r="C244" s="62" t="s">
        <v>728</v>
      </c>
      <c r="D244" s="61" t="s">
        <v>663</v>
      </c>
      <c r="E244" s="61" t="s">
        <v>28</v>
      </c>
      <c r="F244" s="61" t="s">
        <v>30</v>
      </c>
      <c r="G244" s="61" t="s">
        <v>30</v>
      </c>
      <c r="H244" s="61" t="s">
        <v>729</v>
      </c>
      <c r="I244" s="61" t="s">
        <v>19</v>
      </c>
      <c r="J244" s="61" t="s">
        <v>20</v>
      </c>
      <c r="K244" s="61" t="s">
        <v>730</v>
      </c>
      <c r="L244" s="61">
        <v>556622398</v>
      </c>
      <c r="M244" s="61">
        <v>15</v>
      </c>
      <c r="N244" s="61"/>
    </row>
    <row r="245" spans="1:14" ht="23.45" customHeight="1">
      <c r="A245" s="63">
        <v>244</v>
      </c>
      <c r="B245" s="63">
        <v>15756</v>
      </c>
      <c r="C245" s="64" t="s">
        <v>731</v>
      </c>
      <c r="D245" s="63" t="s">
        <v>663</v>
      </c>
      <c r="E245" s="63" t="s">
        <v>28</v>
      </c>
      <c r="F245" s="63" t="s">
        <v>732</v>
      </c>
      <c r="G245" s="63" t="s">
        <v>698</v>
      </c>
      <c r="H245" s="63" t="s">
        <v>733</v>
      </c>
      <c r="I245" s="63" t="s">
        <v>19</v>
      </c>
      <c r="J245" s="63" t="s">
        <v>20</v>
      </c>
      <c r="K245" s="63" t="s">
        <v>734</v>
      </c>
      <c r="L245" s="63">
        <v>505585078</v>
      </c>
      <c r="M245" s="63">
        <v>15</v>
      </c>
      <c r="N245" s="63"/>
    </row>
    <row r="246" spans="1:14" ht="23.45" customHeight="1">
      <c r="A246" s="61">
        <v>245</v>
      </c>
      <c r="B246" s="61">
        <v>13714</v>
      </c>
      <c r="C246" s="62" t="s">
        <v>735</v>
      </c>
      <c r="D246" s="61" t="s">
        <v>663</v>
      </c>
      <c r="E246" s="61" t="s">
        <v>28</v>
      </c>
      <c r="F246" s="61" t="s">
        <v>732</v>
      </c>
      <c r="G246" s="61" t="s">
        <v>698</v>
      </c>
      <c r="H246" s="61" t="s">
        <v>733</v>
      </c>
      <c r="I246" s="61" t="s">
        <v>55</v>
      </c>
      <c r="J246" s="61" t="s">
        <v>20</v>
      </c>
      <c r="K246" s="61" t="s">
        <v>736</v>
      </c>
      <c r="L246" s="61">
        <v>553223441</v>
      </c>
      <c r="M246" s="61">
        <v>15</v>
      </c>
      <c r="N246" s="61"/>
    </row>
    <row r="247" spans="1:14" ht="23.45" customHeight="1">
      <c r="A247" s="63">
        <v>246</v>
      </c>
      <c r="B247" s="63">
        <v>11653</v>
      </c>
      <c r="C247" s="64" t="s">
        <v>737</v>
      </c>
      <c r="D247" s="63" t="s">
        <v>663</v>
      </c>
      <c r="E247" s="63" t="s">
        <v>134</v>
      </c>
      <c r="F247" s="63" t="s">
        <v>738</v>
      </c>
      <c r="G247" s="63" t="s">
        <v>664</v>
      </c>
      <c r="H247" s="63" t="s">
        <v>738</v>
      </c>
      <c r="I247" s="63" t="s">
        <v>19</v>
      </c>
      <c r="J247" s="63" t="s">
        <v>20</v>
      </c>
      <c r="K247" s="63" t="s">
        <v>739</v>
      </c>
      <c r="L247" s="63">
        <v>503793992</v>
      </c>
      <c r="M247" s="63">
        <v>15</v>
      </c>
      <c r="N247" s="63"/>
    </row>
    <row r="248" spans="1:14" ht="23.45" customHeight="1">
      <c r="A248" s="61">
        <v>247</v>
      </c>
      <c r="B248" s="61">
        <v>27358</v>
      </c>
      <c r="C248" s="62" t="s">
        <v>740</v>
      </c>
      <c r="D248" s="61" t="s">
        <v>663</v>
      </c>
      <c r="E248" s="61" t="s">
        <v>16</v>
      </c>
      <c r="F248" s="61" t="s">
        <v>741</v>
      </c>
      <c r="G248" s="61" t="s">
        <v>30</v>
      </c>
      <c r="H248" s="61" t="s">
        <v>741</v>
      </c>
      <c r="I248" s="61" t="s">
        <v>73</v>
      </c>
      <c r="J248" s="61" t="s">
        <v>20</v>
      </c>
      <c r="K248" s="61" t="s">
        <v>742</v>
      </c>
      <c r="L248" s="61">
        <v>563470570</v>
      </c>
      <c r="M248" s="61">
        <v>15</v>
      </c>
      <c r="N248" s="61"/>
    </row>
    <row r="249" spans="1:14" ht="23.45" customHeight="1">
      <c r="A249" s="63">
        <v>248</v>
      </c>
      <c r="B249" s="63">
        <v>13386</v>
      </c>
      <c r="C249" s="64" t="s">
        <v>743</v>
      </c>
      <c r="D249" s="63" t="s">
        <v>663</v>
      </c>
      <c r="E249" s="63" t="s">
        <v>28</v>
      </c>
      <c r="F249" s="63" t="s">
        <v>741</v>
      </c>
      <c r="G249" s="63" t="s">
        <v>741</v>
      </c>
      <c r="H249" s="63" t="s">
        <v>741</v>
      </c>
      <c r="I249" s="63" t="s">
        <v>19</v>
      </c>
      <c r="J249" s="63" t="s">
        <v>20</v>
      </c>
      <c r="K249" s="63" t="s">
        <v>744</v>
      </c>
      <c r="L249" s="63">
        <v>534618618</v>
      </c>
      <c r="M249" s="63">
        <v>15</v>
      </c>
      <c r="N249" s="63"/>
    </row>
    <row r="250" spans="1:14" ht="23.45" customHeight="1">
      <c r="A250" s="61">
        <v>249</v>
      </c>
      <c r="B250" s="61">
        <v>16219</v>
      </c>
      <c r="C250" s="62" t="s">
        <v>745</v>
      </c>
      <c r="D250" s="61" t="s">
        <v>663</v>
      </c>
      <c r="E250" s="61" t="s">
        <v>16</v>
      </c>
      <c r="F250" s="61" t="s">
        <v>741</v>
      </c>
      <c r="G250" s="61" t="s">
        <v>746</v>
      </c>
      <c r="H250" s="61" t="s">
        <v>741</v>
      </c>
      <c r="I250" s="61" t="s">
        <v>19</v>
      </c>
      <c r="J250" s="61" t="s">
        <v>20</v>
      </c>
      <c r="K250" s="61" t="s">
        <v>747</v>
      </c>
      <c r="L250" s="61">
        <v>503040200</v>
      </c>
      <c r="M250" s="61">
        <v>15</v>
      </c>
      <c r="N250" s="61"/>
    </row>
    <row r="251" spans="1:14" ht="23.45" customHeight="1">
      <c r="A251" s="63">
        <v>250</v>
      </c>
      <c r="B251" s="63">
        <v>13196</v>
      </c>
      <c r="C251" s="64" t="s">
        <v>748</v>
      </c>
      <c r="D251" s="63" t="s">
        <v>663</v>
      </c>
      <c r="E251" s="63" t="s">
        <v>16</v>
      </c>
      <c r="F251" s="63" t="s">
        <v>698</v>
      </c>
      <c r="G251" s="63" t="s">
        <v>698</v>
      </c>
      <c r="H251" s="63" t="s">
        <v>733</v>
      </c>
      <c r="I251" s="63" t="s">
        <v>73</v>
      </c>
      <c r="J251" s="63" t="s">
        <v>20</v>
      </c>
      <c r="K251" s="63" t="s">
        <v>749</v>
      </c>
      <c r="L251" s="63">
        <v>503652970</v>
      </c>
      <c r="M251" s="63">
        <v>15</v>
      </c>
      <c r="N251" s="63"/>
    </row>
    <row r="252" spans="1:14" ht="23.45" customHeight="1">
      <c r="A252" s="61">
        <v>251</v>
      </c>
      <c r="B252" s="61">
        <v>13208</v>
      </c>
      <c r="C252" s="62" t="s">
        <v>750</v>
      </c>
      <c r="D252" s="61" t="s">
        <v>663</v>
      </c>
      <c r="E252" s="61" t="s">
        <v>16</v>
      </c>
      <c r="F252" s="61" t="s">
        <v>751</v>
      </c>
      <c r="G252" s="61" t="s">
        <v>752</v>
      </c>
      <c r="H252" s="61" t="s">
        <v>751</v>
      </c>
      <c r="I252" s="61" t="s">
        <v>73</v>
      </c>
      <c r="J252" s="61" t="s">
        <v>20</v>
      </c>
      <c r="K252" s="61" t="s">
        <v>753</v>
      </c>
      <c r="L252" s="61">
        <v>555616767</v>
      </c>
      <c r="M252" s="61">
        <v>15</v>
      </c>
      <c r="N252" s="61"/>
    </row>
    <row r="253" spans="1:14" ht="23.45" customHeight="1">
      <c r="A253" s="63">
        <v>252</v>
      </c>
      <c r="B253" s="63">
        <v>11682</v>
      </c>
      <c r="C253" s="64" t="s">
        <v>754</v>
      </c>
      <c r="D253" s="63" t="s">
        <v>663</v>
      </c>
      <c r="E253" s="63" t="s">
        <v>16</v>
      </c>
      <c r="F253" s="63" t="s">
        <v>664</v>
      </c>
      <c r="G253" s="63" t="s">
        <v>30</v>
      </c>
      <c r="H253" s="63" t="s">
        <v>664</v>
      </c>
      <c r="I253" s="63" t="s">
        <v>73</v>
      </c>
      <c r="J253" s="63" t="s">
        <v>20</v>
      </c>
      <c r="K253" s="63" t="s">
        <v>755</v>
      </c>
      <c r="L253" s="63">
        <v>599804688</v>
      </c>
      <c r="M253" s="63">
        <v>15</v>
      </c>
      <c r="N253" s="63"/>
    </row>
    <row r="254" spans="1:14" ht="23.45" customHeight="1">
      <c r="A254" s="61">
        <v>253</v>
      </c>
      <c r="B254" s="61">
        <v>15940</v>
      </c>
      <c r="C254" s="62" t="s">
        <v>756</v>
      </c>
      <c r="D254" s="61" t="s">
        <v>663</v>
      </c>
      <c r="E254" s="61" t="s">
        <v>16</v>
      </c>
      <c r="F254" s="61" t="s">
        <v>698</v>
      </c>
      <c r="G254" s="61" t="s">
        <v>698</v>
      </c>
      <c r="H254" s="61" t="s">
        <v>733</v>
      </c>
      <c r="I254" s="61" t="s">
        <v>19</v>
      </c>
      <c r="J254" s="61" t="s">
        <v>20</v>
      </c>
      <c r="K254" s="61" t="s">
        <v>757</v>
      </c>
      <c r="L254" s="61">
        <v>553555490</v>
      </c>
      <c r="M254" s="61" t="s">
        <v>758</v>
      </c>
      <c r="N254" s="61" t="s">
        <v>759</v>
      </c>
    </row>
    <row r="255" spans="1:14" ht="23.45" customHeight="1">
      <c r="A255" s="63">
        <v>254</v>
      </c>
      <c r="B255" s="63">
        <v>17228</v>
      </c>
      <c r="C255" s="64" t="s">
        <v>760</v>
      </c>
      <c r="D255" s="63" t="s">
        <v>663</v>
      </c>
      <c r="E255" s="63" t="s">
        <v>16</v>
      </c>
      <c r="F255" s="63" t="s">
        <v>741</v>
      </c>
      <c r="G255" s="63" t="s">
        <v>761</v>
      </c>
      <c r="H255" s="63" t="s">
        <v>741</v>
      </c>
      <c r="I255" s="63" t="s">
        <v>19</v>
      </c>
      <c r="J255" s="63" t="s">
        <v>20</v>
      </c>
      <c r="K255" s="63" t="s">
        <v>762</v>
      </c>
      <c r="L255" s="63">
        <v>552245582</v>
      </c>
      <c r="M255" s="63">
        <v>15</v>
      </c>
      <c r="N255" s="63"/>
    </row>
    <row r="256" spans="1:14" ht="23.45" customHeight="1">
      <c r="A256" s="61">
        <v>255</v>
      </c>
      <c r="B256" s="61">
        <v>13046</v>
      </c>
      <c r="C256" s="62" t="s">
        <v>763</v>
      </c>
      <c r="D256" s="61" t="s">
        <v>663</v>
      </c>
      <c r="E256" s="61" t="s">
        <v>28</v>
      </c>
      <c r="F256" s="61" t="s">
        <v>764</v>
      </c>
      <c r="G256" s="61" t="s">
        <v>30</v>
      </c>
      <c r="H256" s="61" t="s">
        <v>733</v>
      </c>
      <c r="I256" s="61" t="s">
        <v>19</v>
      </c>
      <c r="J256" s="61" t="s">
        <v>20</v>
      </c>
      <c r="K256" s="61" t="s">
        <v>765</v>
      </c>
      <c r="L256" s="61">
        <v>505781909</v>
      </c>
      <c r="M256" s="61">
        <v>15</v>
      </c>
      <c r="N256" s="61"/>
    </row>
    <row r="257" spans="1:14" ht="23.45" customHeight="1">
      <c r="A257" s="63">
        <v>256</v>
      </c>
      <c r="B257" s="63" t="s">
        <v>766</v>
      </c>
      <c r="C257" s="64" t="s">
        <v>767</v>
      </c>
      <c r="D257" s="63" t="s">
        <v>663</v>
      </c>
      <c r="E257" s="63" t="s">
        <v>16</v>
      </c>
      <c r="F257" s="63" t="s">
        <v>768</v>
      </c>
      <c r="G257" s="63" t="s">
        <v>768</v>
      </c>
      <c r="H257" s="63" t="s">
        <v>733</v>
      </c>
      <c r="I257" s="63" t="s">
        <v>19</v>
      </c>
      <c r="J257" s="63" t="s">
        <v>20</v>
      </c>
      <c r="K257" s="63" t="s">
        <v>769</v>
      </c>
      <c r="L257" s="63">
        <v>555736020</v>
      </c>
      <c r="M257" s="63">
        <v>15</v>
      </c>
      <c r="N257" s="63"/>
    </row>
    <row r="258" spans="1:14" ht="23.45" customHeight="1">
      <c r="A258" s="61">
        <v>257</v>
      </c>
      <c r="B258" s="61">
        <v>12765</v>
      </c>
      <c r="C258" s="62" t="s">
        <v>770</v>
      </c>
      <c r="D258" s="61" t="s">
        <v>663</v>
      </c>
      <c r="E258" s="61" t="s">
        <v>16</v>
      </c>
      <c r="F258" s="61" t="s">
        <v>664</v>
      </c>
      <c r="G258" s="61" t="s">
        <v>771</v>
      </c>
      <c r="H258" s="61" t="s">
        <v>664</v>
      </c>
      <c r="I258" s="61" t="s">
        <v>73</v>
      </c>
      <c r="J258" s="61" t="s">
        <v>20</v>
      </c>
      <c r="K258" s="61" t="s">
        <v>772</v>
      </c>
      <c r="L258" s="61">
        <v>500822254</v>
      </c>
      <c r="M258" s="61">
        <v>15</v>
      </c>
      <c r="N258" s="61"/>
    </row>
    <row r="259" spans="1:14" ht="23.45" customHeight="1">
      <c r="A259" s="63">
        <v>258</v>
      </c>
      <c r="B259" s="63">
        <v>14112</v>
      </c>
      <c r="C259" s="64" t="s">
        <v>773</v>
      </c>
      <c r="D259" s="63" t="s">
        <v>663</v>
      </c>
      <c r="E259" s="63" t="s">
        <v>28</v>
      </c>
      <c r="F259" s="63" t="s">
        <v>774</v>
      </c>
      <c r="G259" s="63"/>
      <c r="H259" s="63" t="s">
        <v>774</v>
      </c>
      <c r="I259" s="63" t="s">
        <v>19</v>
      </c>
      <c r="J259" s="63" t="s">
        <v>20</v>
      </c>
      <c r="K259" s="63" t="s">
        <v>775</v>
      </c>
      <c r="L259" s="63">
        <v>503626653</v>
      </c>
      <c r="M259" s="63">
        <v>15</v>
      </c>
      <c r="N259" s="63"/>
    </row>
    <row r="260" spans="1:14" ht="23.45" customHeight="1">
      <c r="A260" s="61">
        <v>259</v>
      </c>
      <c r="B260" s="61">
        <v>9760</v>
      </c>
      <c r="C260" s="62" t="s">
        <v>776</v>
      </c>
      <c r="D260" s="61" t="s">
        <v>663</v>
      </c>
      <c r="E260" s="61" t="s">
        <v>16</v>
      </c>
      <c r="F260" s="61" t="s">
        <v>777</v>
      </c>
      <c r="G260" s="61" t="s">
        <v>777</v>
      </c>
      <c r="H260" s="61" t="s">
        <v>777</v>
      </c>
      <c r="I260" s="61" t="s">
        <v>19</v>
      </c>
      <c r="J260" s="61" t="s">
        <v>20</v>
      </c>
      <c r="K260" s="61" t="s">
        <v>778</v>
      </c>
      <c r="L260" s="61">
        <v>555116453</v>
      </c>
      <c r="M260" s="61">
        <v>15</v>
      </c>
      <c r="N260" s="61"/>
    </row>
    <row r="261" spans="1:14" ht="23.45" customHeight="1">
      <c r="A261" s="63">
        <v>260</v>
      </c>
      <c r="B261" s="63">
        <v>9074</v>
      </c>
      <c r="C261" s="64" t="s">
        <v>779</v>
      </c>
      <c r="D261" s="63" t="s">
        <v>663</v>
      </c>
      <c r="E261" s="63" t="s">
        <v>16</v>
      </c>
      <c r="F261" s="63" t="s">
        <v>741</v>
      </c>
      <c r="G261" s="63" t="s">
        <v>741</v>
      </c>
      <c r="H261" s="63" t="s">
        <v>741</v>
      </c>
      <c r="I261" s="63" t="s">
        <v>19</v>
      </c>
      <c r="J261" s="63" t="s">
        <v>20</v>
      </c>
      <c r="K261" s="63" t="s">
        <v>780</v>
      </c>
      <c r="L261" s="63">
        <v>504635720</v>
      </c>
      <c r="M261" s="63">
        <v>15</v>
      </c>
      <c r="N261" s="63"/>
    </row>
    <row r="262" spans="1:14" ht="23.45" customHeight="1">
      <c r="A262" s="61">
        <v>261</v>
      </c>
      <c r="B262" s="61">
        <v>23985</v>
      </c>
      <c r="C262" s="62" t="s">
        <v>781</v>
      </c>
      <c r="D262" s="61" t="s">
        <v>663</v>
      </c>
      <c r="E262" s="61" t="s">
        <v>16</v>
      </c>
      <c r="F262" s="61" t="s">
        <v>782</v>
      </c>
      <c r="G262" s="61" t="s">
        <v>783</v>
      </c>
      <c r="H262" s="61" t="s">
        <v>782</v>
      </c>
      <c r="I262" s="61" t="s">
        <v>73</v>
      </c>
      <c r="J262" s="61" t="s">
        <v>20</v>
      </c>
      <c r="K262" s="61" t="s">
        <v>784</v>
      </c>
      <c r="L262" s="61">
        <v>568404104</v>
      </c>
      <c r="M262" s="61">
        <v>15</v>
      </c>
      <c r="N262" s="61"/>
    </row>
    <row r="263" spans="1:14" ht="23.45" customHeight="1">
      <c r="A263" s="63">
        <v>262</v>
      </c>
      <c r="B263" s="63">
        <v>18037</v>
      </c>
      <c r="C263" s="64" t="s">
        <v>785</v>
      </c>
      <c r="D263" s="63" t="s">
        <v>663</v>
      </c>
      <c r="E263" s="63" t="s">
        <v>16</v>
      </c>
      <c r="F263" s="63" t="s">
        <v>786</v>
      </c>
      <c r="G263" s="63" t="s">
        <v>787</v>
      </c>
      <c r="H263" s="63" t="s">
        <v>788</v>
      </c>
      <c r="I263" s="63" t="s">
        <v>73</v>
      </c>
      <c r="J263" s="63" t="s">
        <v>20</v>
      </c>
      <c r="K263" s="63" t="s">
        <v>789</v>
      </c>
      <c r="L263" s="63">
        <v>566988788</v>
      </c>
      <c r="M263" s="63">
        <v>15</v>
      </c>
      <c r="N263" s="63"/>
    </row>
    <row r="264" spans="1:14" ht="23.45" customHeight="1">
      <c r="A264" s="61">
        <v>263</v>
      </c>
      <c r="B264" s="61">
        <v>14264</v>
      </c>
      <c r="C264" s="62" t="s">
        <v>790</v>
      </c>
      <c r="D264" s="61" t="s">
        <v>663</v>
      </c>
      <c r="E264" s="61" t="s">
        <v>28</v>
      </c>
      <c r="F264" s="61" t="s">
        <v>791</v>
      </c>
      <c r="G264" s="61" t="s">
        <v>792</v>
      </c>
      <c r="H264" s="61" t="s">
        <v>791</v>
      </c>
      <c r="I264" s="61" t="s">
        <v>19</v>
      </c>
      <c r="J264" s="61" t="s">
        <v>20</v>
      </c>
      <c r="K264" s="61" t="s">
        <v>793</v>
      </c>
      <c r="L264" s="61">
        <v>545500488</v>
      </c>
      <c r="M264" s="61">
        <v>15</v>
      </c>
      <c r="N264" s="61"/>
    </row>
    <row r="265" spans="1:14" ht="23.45" customHeight="1">
      <c r="A265" s="63">
        <v>264</v>
      </c>
      <c r="B265" s="63">
        <v>17213</v>
      </c>
      <c r="C265" s="64" t="s">
        <v>794</v>
      </c>
      <c r="D265" s="63" t="s">
        <v>663</v>
      </c>
      <c r="E265" s="63" t="s">
        <v>28</v>
      </c>
      <c r="F265" s="63" t="s">
        <v>795</v>
      </c>
      <c r="G265" s="63" t="s">
        <v>30</v>
      </c>
      <c r="H265" s="63" t="s">
        <v>795</v>
      </c>
      <c r="I265" s="63" t="s">
        <v>19</v>
      </c>
      <c r="J265" s="63" t="s">
        <v>20</v>
      </c>
      <c r="K265" s="63" t="s">
        <v>796</v>
      </c>
      <c r="L265" s="63">
        <v>507753352</v>
      </c>
      <c r="M265" s="63">
        <v>15</v>
      </c>
      <c r="N265" s="63"/>
    </row>
    <row r="266" spans="1:14" ht="23.45" customHeight="1">
      <c r="A266" s="61">
        <v>265</v>
      </c>
      <c r="B266" s="61">
        <v>16329</v>
      </c>
      <c r="C266" s="62" t="s">
        <v>797</v>
      </c>
      <c r="D266" s="61" t="s">
        <v>663</v>
      </c>
      <c r="E266" s="61" t="s">
        <v>28</v>
      </c>
      <c r="F266" s="61" t="s">
        <v>798</v>
      </c>
      <c r="G266" s="61" t="s">
        <v>799</v>
      </c>
      <c r="H266" s="61" t="s">
        <v>733</v>
      </c>
      <c r="I266" s="61" t="s">
        <v>19</v>
      </c>
      <c r="J266" s="61" t="s">
        <v>20</v>
      </c>
      <c r="K266" s="61" t="s">
        <v>800</v>
      </c>
      <c r="L266" s="61">
        <v>564242114</v>
      </c>
      <c r="M266" s="61">
        <v>15</v>
      </c>
      <c r="N266" s="61"/>
    </row>
    <row r="267" spans="1:14" ht="23.45" customHeight="1">
      <c r="A267" s="63">
        <v>266</v>
      </c>
      <c r="B267" s="63">
        <v>16115</v>
      </c>
      <c r="C267" s="64" t="s">
        <v>801</v>
      </c>
      <c r="D267" s="63" t="s">
        <v>663</v>
      </c>
      <c r="E267" s="63" t="s">
        <v>16</v>
      </c>
      <c r="F267" s="63" t="s">
        <v>664</v>
      </c>
      <c r="G267" s="63" t="s">
        <v>802</v>
      </c>
      <c r="H267" s="63" t="s">
        <v>664</v>
      </c>
      <c r="I267" s="63" t="s">
        <v>73</v>
      </c>
      <c r="J267" s="63" t="s">
        <v>20</v>
      </c>
      <c r="K267" s="63" t="s">
        <v>803</v>
      </c>
      <c r="L267" s="63">
        <v>554020749</v>
      </c>
      <c r="M267" s="63">
        <v>15</v>
      </c>
      <c r="N267" s="63"/>
    </row>
    <row r="268" spans="1:14" ht="23.45" customHeight="1">
      <c r="A268" s="61">
        <v>267</v>
      </c>
      <c r="B268" s="61">
        <v>13707</v>
      </c>
      <c r="C268" s="62" t="s">
        <v>804</v>
      </c>
      <c r="D268" s="61" t="s">
        <v>663</v>
      </c>
      <c r="E268" s="61" t="s">
        <v>28</v>
      </c>
      <c r="F268" s="61" t="s">
        <v>720</v>
      </c>
      <c r="G268" s="61" t="s">
        <v>30</v>
      </c>
      <c r="H268" s="61" t="s">
        <v>720</v>
      </c>
      <c r="I268" s="61" t="s">
        <v>19</v>
      </c>
      <c r="J268" s="61" t="s">
        <v>20</v>
      </c>
      <c r="K268" s="61" t="s">
        <v>805</v>
      </c>
      <c r="L268" s="61">
        <v>556666823</v>
      </c>
      <c r="M268" s="61">
        <v>15</v>
      </c>
      <c r="N268" s="61"/>
    </row>
    <row r="269" spans="1:14" ht="23.45" customHeight="1">
      <c r="A269" s="63">
        <v>268</v>
      </c>
      <c r="B269" s="63">
        <v>27580</v>
      </c>
      <c r="C269" s="64" t="s">
        <v>806</v>
      </c>
      <c r="D269" s="63" t="s">
        <v>663</v>
      </c>
      <c r="E269" s="63" t="s">
        <v>16</v>
      </c>
      <c r="F269" s="63"/>
      <c r="G269" s="63" t="s">
        <v>807</v>
      </c>
      <c r="H269" s="63" t="s">
        <v>808</v>
      </c>
      <c r="I269" s="63" t="s">
        <v>55</v>
      </c>
      <c r="J269" s="63" t="s">
        <v>20</v>
      </c>
      <c r="K269" s="63" t="s">
        <v>809</v>
      </c>
      <c r="L269" s="63">
        <v>558635191</v>
      </c>
      <c r="M269" s="63">
        <v>15</v>
      </c>
      <c r="N269" s="63"/>
    </row>
    <row r="270" spans="1:14" ht="23.45" customHeight="1">
      <c r="A270" s="61">
        <v>269</v>
      </c>
      <c r="B270" s="61">
        <v>29756</v>
      </c>
      <c r="C270" s="62" t="s">
        <v>810</v>
      </c>
      <c r="D270" s="61" t="s">
        <v>663</v>
      </c>
      <c r="E270" s="61" t="s">
        <v>28</v>
      </c>
      <c r="F270" s="61" t="s">
        <v>664</v>
      </c>
      <c r="G270" s="61" t="s">
        <v>771</v>
      </c>
      <c r="H270" s="61" t="s">
        <v>664</v>
      </c>
      <c r="I270" s="61" t="s">
        <v>19</v>
      </c>
      <c r="J270" s="61" t="s">
        <v>20</v>
      </c>
      <c r="K270" s="61" t="s">
        <v>811</v>
      </c>
      <c r="L270" s="61">
        <v>500503553</v>
      </c>
      <c r="M270" s="61">
        <v>15</v>
      </c>
      <c r="N270" s="61"/>
    </row>
    <row r="271" spans="1:14" ht="23.45" customHeight="1">
      <c r="A271" s="63">
        <v>270</v>
      </c>
      <c r="B271" s="63">
        <v>12574</v>
      </c>
      <c r="C271" s="64" t="s">
        <v>812</v>
      </c>
      <c r="D271" s="63" t="s">
        <v>663</v>
      </c>
      <c r="E271" s="63" t="s">
        <v>16</v>
      </c>
      <c r="F271" s="63" t="s">
        <v>698</v>
      </c>
      <c r="G271" s="63" t="s">
        <v>764</v>
      </c>
      <c r="H271" s="63" t="s">
        <v>733</v>
      </c>
      <c r="I271" s="63" t="s">
        <v>19</v>
      </c>
      <c r="J271" s="63" t="s">
        <v>20</v>
      </c>
      <c r="K271" s="63" t="s">
        <v>813</v>
      </c>
      <c r="L271" s="63">
        <v>544445713</v>
      </c>
      <c r="M271" s="63">
        <v>15</v>
      </c>
      <c r="N271" s="63"/>
    </row>
    <row r="272" spans="1:14" ht="23.45" customHeight="1">
      <c r="A272" s="61">
        <v>271</v>
      </c>
      <c r="B272" s="61">
        <v>27380</v>
      </c>
      <c r="C272" s="62" t="s">
        <v>814</v>
      </c>
      <c r="D272" s="61" t="s">
        <v>663</v>
      </c>
      <c r="E272" s="61" t="s">
        <v>28</v>
      </c>
      <c r="F272" s="61" t="s">
        <v>741</v>
      </c>
      <c r="G272" s="61" t="s">
        <v>30</v>
      </c>
      <c r="H272" s="61" t="s">
        <v>741</v>
      </c>
      <c r="I272" s="61" t="s">
        <v>19</v>
      </c>
      <c r="J272" s="61" t="s">
        <v>20</v>
      </c>
      <c r="K272" s="61" t="s">
        <v>815</v>
      </c>
      <c r="L272" s="61">
        <v>500771704</v>
      </c>
      <c r="M272" s="61">
        <v>15</v>
      </c>
      <c r="N272" s="61"/>
    </row>
    <row r="273" spans="1:14" ht="23.45" customHeight="1">
      <c r="A273" s="63">
        <v>272</v>
      </c>
      <c r="B273" s="63">
        <v>13430</v>
      </c>
      <c r="C273" s="64" t="s">
        <v>816</v>
      </c>
      <c r="D273" s="63" t="s">
        <v>663</v>
      </c>
      <c r="E273" s="63" t="s">
        <v>16</v>
      </c>
      <c r="F273" s="63" t="s">
        <v>698</v>
      </c>
      <c r="G273" s="63" t="s">
        <v>817</v>
      </c>
      <c r="H273" s="63" t="s">
        <v>733</v>
      </c>
      <c r="I273" s="63" t="s">
        <v>19</v>
      </c>
      <c r="J273" s="63" t="s">
        <v>20</v>
      </c>
      <c r="K273" s="63" t="s">
        <v>818</v>
      </c>
      <c r="L273" s="63">
        <v>500340076</v>
      </c>
      <c r="M273" s="63">
        <v>15</v>
      </c>
      <c r="N273" s="63"/>
    </row>
    <row r="274" spans="1:14" ht="23.45" customHeight="1">
      <c r="A274" s="61">
        <v>273</v>
      </c>
      <c r="B274" s="61">
        <v>11733</v>
      </c>
      <c r="C274" s="62" t="s">
        <v>819</v>
      </c>
      <c r="D274" s="61" t="s">
        <v>663</v>
      </c>
      <c r="E274" s="61" t="s">
        <v>28</v>
      </c>
      <c r="F274" s="61" t="s">
        <v>732</v>
      </c>
      <c r="G274" s="61" t="s">
        <v>820</v>
      </c>
      <c r="H274" s="61" t="s">
        <v>733</v>
      </c>
      <c r="I274" s="61" t="s">
        <v>19</v>
      </c>
      <c r="J274" s="61" t="s">
        <v>20</v>
      </c>
      <c r="K274" s="61" t="s">
        <v>821</v>
      </c>
      <c r="L274" s="61">
        <v>504383933</v>
      </c>
      <c r="M274" s="61">
        <v>15</v>
      </c>
      <c r="N274" s="61"/>
    </row>
    <row r="275" spans="1:14" ht="23.45" customHeight="1">
      <c r="A275" s="63">
        <v>274</v>
      </c>
      <c r="B275" s="63">
        <v>8352</v>
      </c>
      <c r="C275" s="64" t="s">
        <v>822</v>
      </c>
      <c r="D275" s="63" t="s">
        <v>663</v>
      </c>
      <c r="E275" s="63" t="s">
        <v>16</v>
      </c>
      <c r="F275" s="63" t="s">
        <v>676</v>
      </c>
      <c r="G275" s="63" t="s">
        <v>30</v>
      </c>
      <c r="H275" s="63" t="s">
        <v>676</v>
      </c>
      <c r="I275" s="63" t="s">
        <v>73</v>
      </c>
      <c r="J275" s="63" t="s">
        <v>20</v>
      </c>
      <c r="K275" s="63" t="s">
        <v>823</v>
      </c>
      <c r="L275" s="63">
        <v>503184090</v>
      </c>
      <c r="M275" s="63">
        <v>15</v>
      </c>
      <c r="N275" s="63"/>
    </row>
    <row r="276" spans="1:14" ht="23.45" customHeight="1">
      <c r="A276" s="61">
        <v>275</v>
      </c>
      <c r="B276" s="61">
        <v>8953</v>
      </c>
      <c r="C276" s="62" t="s">
        <v>824</v>
      </c>
      <c r="D276" s="61" t="s">
        <v>663</v>
      </c>
      <c r="E276" s="61" t="s">
        <v>16</v>
      </c>
      <c r="F276" s="61" t="s">
        <v>825</v>
      </c>
      <c r="G276" s="61" t="s">
        <v>30</v>
      </c>
      <c r="H276" s="61" t="s">
        <v>825</v>
      </c>
      <c r="I276" s="61" t="s">
        <v>73</v>
      </c>
      <c r="J276" s="61" t="s">
        <v>20</v>
      </c>
      <c r="K276" s="61" t="s">
        <v>826</v>
      </c>
      <c r="L276" s="61">
        <v>505660883</v>
      </c>
      <c r="M276" s="61">
        <v>15</v>
      </c>
      <c r="N276" s="61"/>
    </row>
    <row r="277" spans="1:14" ht="23.45" customHeight="1">
      <c r="A277" s="63">
        <v>276</v>
      </c>
      <c r="B277" s="63">
        <v>21823</v>
      </c>
      <c r="C277" s="64" t="s">
        <v>827</v>
      </c>
      <c r="D277" s="63" t="s">
        <v>663</v>
      </c>
      <c r="E277" s="63" t="s">
        <v>16</v>
      </c>
      <c r="F277" s="63" t="s">
        <v>664</v>
      </c>
      <c r="G277" s="63" t="s">
        <v>664</v>
      </c>
      <c r="H277" s="63" t="s">
        <v>664</v>
      </c>
      <c r="I277" s="63" t="s">
        <v>19</v>
      </c>
      <c r="J277" s="63" t="s">
        <v>20</v>
      </c>
      <c r="K277" s="63" t="s">
        <v>828</v>
      </c>
      <c r="L277" s="63">
        <v>558720332</v>
      </c>
      <c r="M277" s="63">
        <v>15</v>
      </c>
      <c r="N277" s="63"/>
    </row>
    <row r="278" spans="1:14" ht="23.45" customHeight="1">
      <c r="A278" s="61">
        <v>277</v>
      </c>
      <c r="B278" s="61">
        <v>16463</v>
      </c>
      <c r="C278" s="62" t="s">
        <v>829</v>
      </c>
      <c r="D278" s="61" t="s">
        <v>663</v>
      </c>
      <c r="E278" s="61" t="s">
        <v>16</v>
      </c>
      <c r="F278" s="61" t="s">
        <v>664</v>
      </c>
      <c r="G278" s="61" t="s">
        <v>30</v>
      </c>
      <c r="H278" s="61" t="s">
        <v>738</v>
      </c>
      <c r="I278" s="61" t="s">
        <v>73</v>
      </c>
      <c r="J278" s="61" t="s">
        <v>20</v>
      </c>
      <c r="K278" s="61" t="s">
        <v>830</v>
      </c>
      <c r="L278" s="61">
        <v>550537780</v>
      </c>
      <c r="M278" s="61">
        <v>15</v>
      </c>
      <c r="N278" s="61"/>
    </row>
    <row r="279" spans="1:14" ht="23.45" customHeight="1">
      <c r="A279" s="63">
        <v>278</v>
      </c>
      <c r="B279" s="63">
        <v>15684</v>
      </c>
      <c r="C279" s="64" t="s">
        <v>831</v>
      </c>
      <c r="D279" s="63" t="s">
        <v>663</v>
      </c>
      <c r="E279" s="63" t="s">
        <v>16</v>
      </c>
      <c r="F279" s="63" t="s">
        <v>698</v>
      </c>
      <c r="G279" s="63" t="s">
        <v>698</v>
      </c>
      <c r="H279" s="63" t="s">
        <v>733</v>
      </c>
      <c r="I279" s="63" t="s">
        <v>19</v>
      </c>
      <c r="J279" s="63" t="s">
        <v>20</v>
      </c>
      <c r="K279" s="63" t="s">
        <v>832</v>
      </c>
      <c r="L279" s="63">
        <v>503736424</v>
      </c>
      <c r="M279" s="63">
        <v>15</v>
      </c>
      <c r="N279" s="63"/>
    </row>
    <row r="280" spans="1:14" ht="23.45" customHeight="1">
      <c r="A280" s="61">
        <v>279</v>
      </c>
      <c r="B280" s="61">
        <v>14744</v>
      </c>
      <c r="C280" s="62" t="s">
        <v>833</v>
      </c>
      <c r="D280" s="61" t="s">
        <v>663</v>
      </c>
      <c r="E280" s="61" t="s">
        <v>16</v>
      </c>
      <c r="F280" s="61" t="s">
        <v>676</v>
      </c>
      <c r="G280" s="61"/>
      <c r="H280" s="61" t="s">
        <v>676</v>
      </c>
      <c r="I280" s="61" t="s">
        <v>73</v>
      </c>
      <c r="J280" s="61" t="s">
        <v>20</v>
      </c>
      <c r="K280" s="61" t="s">
        <v>834</v>
      </c>
      <c r="L280" s="61">
        <v>505603928</v>
      </c>
      <c r="M280" s="61">
        <v>15</v>
      </c>
      <c r="N280" s="61"/>
    </row>
    <row r="281" spans="1:14" ht="23.45" customHeight="1">
      <c r="A281" s="63">
        <v>280</v>
      </c>
      <c r="B281" s="63">
        <v>4671</v>
      </c>
      <c r="C281" s="64" t="s">
        <v>835</v>
      </c>
      <c r="D281" s="63" t="s">
        <v>663</v>
      </c>
      <c r="E281" s="63" t="s">
        <v>16</v>
      </c>
      <c r="F281" s="63" t="s">
        <v>836</v>
      </c>
      <c r="G281" s="63" t="s">
        <v>30</v>
      </c>
      <c r="H281" s="63" t="s">
        <v>836</v>
      </c>
      <c r="I281" s="63" t="s">
        <v>73</v>
      </c>
      <c r="J281" s="63" t="s">
        <v>20</v>
      </c>
      <c r="K281" s="63" t="s">
        <v>837</v>
      </c>
      <c r="L281" s="63">
        <v>555526968</v>
      </c>
      <c r="M281" s="63">
        <v>15</v>
      </c>
      <c r="N281" s="63"/>
    </row>
    <row r="282" spans="1:14" ht="23.45" customHeight="1">
      <c r="A282" s="61">
        <v>281</v>
      </c>
      <c r="B282" s="61">
        <v>15880</v>
      </c>
      <c r="C282" s="62" t="s">
        <v>838</v>
      </c>
      <c r="D282" s="61" t="s">
        <v>663</v>
      </c>
      <c r="E282" s="61" t="s">
        <v>28</v>
      </c>
      <c r="F282" s="61" t="s">
        <v>839</v>
      </c>
      <c r="G282" s="61" t="s">
        <v>768</v>
      </c>
      <c r="H282" s="61" t="s">
        <v>733</v>
      </c>
      <c r="I282" s="61" t="s">
        <v>19</v>
      </c>
      <c r="J282" s="61" t="s">
        <v>20</v>
      </c>
      <c r="K282" s="61" t="s">
        <v>840</v>
      </c>
      <c r="L282" s="61">
        <v>555572229</v>
      </c>
      <c r="M282" s="61">
        <v>15</v>
      </c>
      <c r="N282" s="61"/>
    </row>
    <row r="283" spans="1:14" ht="23.45" customHeight="1">
      <c r="A283" s="63">
        <v>282</v>
      </c>
      <c r="B283" s="63">
        <v>15141</v>
      </c>
      <c r="C283" s="64" t="s">
        <v>841</v>
      </c>
      <c r="D283" s="63" t="s">
        <v>663</v>
      </c>
      <c r="E283" s="63" t="s">
        <v>28</v>
      </c>
      <c r="F283" s="63" t="s">
        <v>732</v>
      </c>
      <c r="G283" s="63" t="s">
        <v>30</v>
      </c>
      <c r="H283" s="63" t="s">
        <v>733</v>
      </c>
      <c r="I283" s="63" t="s">
        <v>19</v>
      </c>
      <c r="J283" s="63" t="s">
        <v>20</v>
      </c>
      <c r="K283" s="63" t="s">
        <v>842</v>
      </c>
      <c r="L283" s="63">
        <v>505693800</v>
      </c>
      <c r="M283" s="63">
        <v>15</v>
      </c>
      <c r="N283" s="63"/>
    </row>
    <row r="284" spans="1:14" ht="23.45" customHeight="1">
      <c r="A284" s="61">
        <v>283</v>
      </c>
      <c r="B284" s="61">
        <v>12440</v>
      </c>
      <c r="C284" s="62" t="s">
        <v>843</v>
      </c>
      <c r="D284" s="61" t="s">
        <v>663</v>
      </c>
      <c r="E284" s="61" t="s">
        <v>28</v>
      </c>
      <c r="F284" s="61" t="s">
        <v>698</v>
      </c>
      <c r="G284" s="61" t="s">
        <v>768</v>
      </c>
      <c r="H284" s="61" t="s">
        <v>844</v>
      </c>
      <c r="I284" s="61" t="s">
        <v>55</v>
      </c>
      <c r="J284" s="61" t="s">
        <v>20</v>
      </c>
      <c r="K284" s="61" t="s">
        <v>845</v>
      </c>
      <c r="L284" s="61">
        <v>555599619</v>
      </c>
      <c r="M284" s="61">
        <v>15</v>
      </c>
      <c r="N284" s="61"/>
    </row>
    <row r="285" spans="1:14" ht="23.45" customHeight="1">
      <c r="A285" s="63">
        <v>284</v>
      </c>
      <c r="B285" s="63">
        <v>27609</v>
      </c>
      <c r="C285" s="64" t="s">
        <v>846</v>
      </c>
      <c r="D285" s="63" t="s">
        <v>663</v>
      </c>
      <c r="E285" s="63" t="s">
        <v>16</v>
      </c>
      <c r="F285" s="63" t="s">
        <v>741</v>
      </c>
      <c r="G285" s="63" t="s">
        <v>30</v>
      </c>
      <c r="H285" s="63" t="s">
        <v>741</v>
      </c>
      <c r="I285" s="63" t="s">
        <v>73</v>
      </c>
      <c r="J285" s="63" t="s">
        <v>20</v>
      </c>
      <c r="K285" s="63" t="s">
        <v>847</v>
      </c>
      <c r="L285" s="63">
        <v>559417741</v>
      </c>
      <c r="M285" s="63">
        <v>15</v>
      </c>
      <c r="N285" s="63"/>
    </row>
    <row r="286" spans="1:14" ht="23.45" customHeight="1">
      <c r="A286" s="61">
        <v>285</v>
      </c>
      <c r="B286" s="61">
        <v>14175</v>
      </c>
      <c r="C286" s="62" t="s">
        <v>848</v>
      </c>
      <c r="D286" s="61" t="s">
        <v>663</v>
      </c>
      <c r="E286" s="61" t="s">
        <v>16</v>
      </c>
      <c r="F286" s="61" t="s">
        <v>676</v>
      </c>
      <c r="G286" s="61" t="s">
        <v>849</v>
      </c>
      <c r="H286" s="61" t="s">
        <v>676</v>
      </c>
      <c r="I286" s="61" t="s">
        <v>73</v>
      </c>
      <c r="J286" s="61" t="s">
        <v>20</v>
      </c>
      <c r="K286" s="61" t="s">
        <v>850</v>
      </c>
      <c r="L286" s="61">
        <v>509512372</v>
      </c>
      <c r="M286" s="61">
        <v>15</v>
      </c>
      <c r="N286" s="61"/>
    </row>
    <row r="287" spans="1:14" ht="23.45" customHeight="1">
      <c r="A287" s="63">
        <v>286</v>
      </c>
      <c r="B287" s="63">
        <v>14301</v>
      </c>
      <c r="C287" s="64" t="s">
        <v>851</v>
      </c>
      <c r="D287" s="63" t="s">
        <v>663</v>
      </c>
      <c r="E287" s="63" t="s">
        <v>28</v>
      </c>
      <c r="F287" s="63" t="s">
        <v>852</v>
      </c>
      <c r="G287" s="63"/>
      <c r="H287" s="63" t="s">
        <v>852</v>
      </c>
      <c r="I287" s="63" t="s">
        <v>19</v>
      </c>
      <c r="J287" s="63" t="s">
        <v>20</v>
      </c>
      <c r="K287" s="63" t="s">
        <v>853</v>
      </c>
      <c r="L287" s="63">
        <v>564313288</v>
      </c>
      <c r="M287" s="63">
        <v>20</v>
      </c>
      <c r="N287" s="63"/>
    </row>
    <row r="288" spans="1:14" ht="23.45" customHeight="1">
      <c r="A288" s="61">
        <v>287</v>
      </c>
      <c r="B288" s="61">
        <v>17238</v>
      </c>
      <c r="C288" s="62" t="s">
        <v>854</v>
      </c>
      <c r="D288" s="61" t="s">
        <v>663</v>
      </c>
      <c r="E288" s="61" t="s">
        <v>28</v>
      </c>
      <c r="F288" s="61" t="s">
        <v>855</v>
      </c>
      <c r="G288" s="61"/>
      <c r="H288" s="61" t="s">
        <v>855</v>
      </c>
      <c r="I288" s="61" t="s">
        <v>19</v>
      </c>
      <c r="J288" s="61" t="s">
        <v>20</v>
      </c>
      <c r="K288" s="61" t="s">
        <v>856</v>
      </c>
      <c r="L288" s="61">
        <v>555503342</v>
      </c>
      <c r="M288" s="61">
        <v>20</v>
      </c>
      <c r="N288" s="61"/>
    </row>
    <row r="289" spans="1:14" ht="23.45" customHeight="1">
      <c r="A289" s="63">
        <v>288</v>
      </c>
      <c r="B289" s="63">
        <v>14966</v>
      </c>
      <c r="C289" s="64" t="s">
        <v>857</v>
      </c>
      <c r="D289" s="63" t="s">
        <v>663</v>
      </c>
      <c r="E289" s="63" t="s">
        <v>28</v>
      </c>
      <c r="F289" s="63" t="s">
        <v>858</v>
      </c>
      <c r="G289" s="63" t="s">
        <v>859</v>
      </c>
      <c r="H289" s="63" t="s">
        <v>860</v>
      </c>
      <c r="I289" s="63" t="s">
        <v>19</v>
      </c>
      <c r="J289" s="63" t="s">
        <v>20</v>
      </c>
      <c r="K289" s="63" t="s">
        <v>861</v>
      </c>
      <c r="L289" s="63">
        <v>562551177</v>
      </c>
      <c r="M289" s="63">
        <v>20</v>
      </c>
      <c r="N289" s="63"/>
    </row>
    <row r="290" spans="1:14" ht="23.45" customHeight="1">
      <c r="A290" s="61">
        <v>289</v>
      </c>
      <c r="B290" s="61">
        <v>13359</v>
      </c>
      <c r="C290" s="62" t="s">
        <v>862</v>
      </c>
      <c r="D290" s="61" t="s">
        <v>663</v>
      </c>
      <c r="E290" s="61" t="s">
        <v>28</v>
      </c>
      <c r="F290" s="61" t="s">
        <v>858</v>
      </c>
      <c r="G290" s="61"/>
      <c r="H290" s="61" t="s">
        <v>860</v>
      </c>
      <c r="I290" s="61" t="s">
        <v>19</v>
      </c>
      <c r="J290" s="61" t="s">
        <v>20</v>
      </c>
      <c r="K290" s="61" t="s">
        <v>863</v>
      </c>
      <c r="L290" s="61">
        <v>500029988</v>
      </c>
      <c r="M290" s="61">
        <v>20</v>
      </c>
      <c r="N290" s="61"/>
    </row>
    <row r="291" spans="1:14" ht="23.45" customHeight="1">
      <c r="A291" s="63">
        <v>290</v>
      </c>
      <c r="B291" s="63">
        <v>12824</v>
      </c>
      <c r="C291" s="64" t="s">
        <v>864</v>
      </c>
      <c r="D291" s="63" t="s">
        <v>663</v>
      </c>
      <c r="E291" s="63" t="s">
        <v>28</v>
      </c>
      <c r="F291" s="63" t="s">
        <v>865</v>
      </c>
      <c r="G291" s="63"/>
      <c r="H291" s="63" t="s">
        <v>860</v>
      </c>
      <c r="I291" s="63" t="s">
        <v>19</v>
      </c>
      <c r="J291" s="63" t="s">
        <v>20</v>
      </c>
      <c r="K291" s="63" t="s">
        <v>866</v>
      </c>
      <c r="L291" s="63">
        <v>540434426</v>
      </c>
      <c r="M291" s="63">
        <v>20</v>
      </c>
      <c r="N291" s="63"/>
    </row>
    <row r="292" spans="1:14" ht="23.45" customHeight="1">
      <c r="A292" s="61">
        <v>291</v>
      </c>
      <c r="B292" s="61">
        <v>20475</v>
      </c>
      <c r="C292" s="62" t="s">
        <v>867</v>
      </c>
      <c r="D292" s="61" t="s">
        <v>663</v>
      </c>
      <c r="E292" s="61" t="s">
        <v>28</v>
      </c>
      <c r="F292" s="61" t="s">
        <v>868</v>
      </c>
      <c r="G292" s="61" t="s">
        <v>869</v>
      </c>
      <c r="H292" s="61" t="s">
        <v>868</v>
      </c>
      <c r="I292" s="61" t="s">
        <v>19</v>
      </c>
      <c r="J292" s="61" t="s">
        <v>20</v>
      </c>
      <c r="K292" s="61" t="s">
        <v>870</v>
      </c>
      <c r="L292" s="61">
        <v>555756098</v>
      </c>
      <c r="M292" s="61">
        <v>20</v>
      </c>
      <c r="N292" s="61"/>
    </row>
    <row r="293" spans="1:14" ht="23.45" customHeight="1">
      <c r="A293" s="63">
        <v>292</v>
      </c>
      <c r="B293" s="63">
        <v>15604</v>
      </c>
      <c r="C293" s="64" t="s">
        <v>871</v>
      </c>
      <c r="D293" s="63" t="s">
        <v>663</v>
      </c>
      <c r="E293" s="63" t="s">
        <v>28</v>
      </c>
      <c r="F293" s="63" t="s">
        <v>858</v>
      </c>
      <c r="G293" s="63" t="s">
        <v>872</v>
      </c>
      <c r="H293" s="63" t="s">
        <v>873</v>
      </c>
      <c r="I293" s="63" t="s">
        <v>55</v>
      </c>
      <c r="J293" s="63" t="s">
        <v>20</v>
      </c>
      <c r="K293" s="63" t="s">
        <v>874</v>
      </c>
      <c r="L293" s="63">
        <v>598712572</v>
      </c>
      <c r="M293" s="63">
        <v>20</v>
      </c>
      <c r="N293" s="63"/>
    </row>
    <row r="294" spans="1:14" ht="23.45" customHeight="1">
      <c r="A294" s="61">
        <v>293</v>
      </c>
      <c r="B294" s="61">
        <v>12909</v>
      </c>
      <c r="C294" s="62" t="s">
        <v>875</v>
      </c>
      <c r="D294" s="61" t="s">
        <v>663</v>
      </c>
      <c r="E294" s="61" t="s">
        <v>16</v>
      </c>
      <c r="F294" s="61" t="s">
        <v>876</v>
      </c>
      <c r="G294" s="61" t="s">
        <v>877</v>
      </c>
      <c r="H294" s="61" t="s">
        <v>876</v>
      </c>
      <c r="I294" s="61" t="s">
        <v>73</v>
      </c>
      <c r="J294" s="61" t="s">
        <v>20</v>
      </c>
      <c r="K294" s="61" t="s">
        <v>878</v>
      </c>
      <c r="L294" s="61">
        <v>555874211</v>
      </c>
      <c r="M294" s="61">
        <v>20</v>
      </c>
      <c r="N294" s="61"/>
    </row>
    <row r="295" spans="1:14" ht="23.45" customHeight="1">
      <c r="A295" s="63">
        <v>294</v>
      </c>
      <c r="B295" s="63">
        <v>12733</v>
      </c>
      <c r="C295" s="64" t="s">
        <v>879</v>
      </c>
      <c r="D295" s="63" t="s">
        <v>663</v>
      </c>
      <c r="E295" s="63" t="s">
        <v>28</v>
      </c>
      <c r="F295" s="63" t="s">
        <v>865</v>
      </c>
      <c r="G295" s="63" t="s">
        <v>865</v>
      </c>
      <c r="H295" s="63" t="s">
        <v>860</v>
      </c>
      <c r="I295" s="63" t="s">
        <v>19</v>
      </c>
      <c r="J295" s="63" t="s">
        <v>20</v>
      </c>
      <c r="K295" s="63" t="s">
        <v>880</v>
      </c>
      <c r="L295" s="63">
        <v>506069494</v>
      </c>
      <c r="M295" s="63">
        <v>20</v>
      </c>
      <c r="N295" s="63"/>
    </row>
    <row r="296" spans="1:14" ht="23.45" customHeight="1">
      <c r="A296" s="61">
        <v>295</v>
      </c>
      <c r="B296" s="61">
        <v>13471</v>
      </c>
      <c r="C296" s="62" t="s">
        <v>881</v>
      </c>
      <c r="D296" s="61" t="s">
        <v>663</v>
      </c>
      <c r="E296" s="61" t="s">
        <v>16</v>
      </c>
      <c r="F296" s="61" t="s">
        <v>852</v>
      </c>
      <c r="G296" s="61" t="s">
        <v>852</v>
      </c>
      <c r="H296" s="61" t="s">
        <v>852</v>
      </c>
      <c r="I296" s="61" t="s">
        <v>73</v>
      </c>
      <c r="J296" s="61" t="s">
        <v>20</v>
      </c>
      <c r="K296" s="61" t="s">
        <v>882</v>
      </c>
      <c r="L296" s="61">
        <v>542799136</v>
      </c>
      <c r="M296" s="61">
        <v>20</v>
      </c>
      <c r="N296" s="61"/>
    </row>
    <row r="297" spans="1:14" ht="23.45" customHeight="1">
      <c r="A297" s="63">
        <v>296</v>
      </c>
      <c r="B297" s="63">
        <v>19771</v>
      </c>
      <c r="C297" s="64" t="s">
        <v>883</v>
      </c>
      <c r="D297" s="63" t="s">
        <v>663</v>
      </c>
      <c r="E297" s="63" t="s">
        <v>28</v>
      </c>
      <c r="F297" s="63" t="s">
        <v>884</v>
      </c>
      <c r="G297" s="63" t="s">
        <v>885</v>
      </c>
      <c r="H297" s="63" t="s">
        <v>884</v>
      </c>
      <c r="I297" s="63" t="s">
        <v>19</v>
      </c>
      <c r="J297" s="63" t="s">
        <v>20</v>
      </c>
      <c r="K297" s="63" t="s">
        <v>886</v>
      </c>
      <c r="L297" s="63">
        <v>541173977</v>
      </c>
      <c r="M297" s="63">
        <v>20</v>
      </c>
      <c r="N297" s="63"/>
    </row>
    <row r="298" spans="1:14" ht="23.45" customHeight="1">
      <c r="A298" s="61">
        <v>297</v>
      </c>
      <c r="B298" s="61">
        <v>12073</v>
      </c>
      <c r="C298" s="62" t="s">
        <v>887</v>
      </c>
      <c r="D298" s="61" t="s">
        <v>663</v>
      </c>
      <c r="E298" s="61" t="s">
        <v>16</v>
      </c>
      <c r="F298" s="61" t="s">
        <v>852</v>
      </c>
      <c r="G298" s="61" t="s">
        <v>888</v>
      </c>
      <c r="H298" s="61" t="s">
        <v>852</v>
      </c>
      <c r="I298" s="61" t="s">
        <v>73</v>
      </c>
      <c r="J298" s="61" t="s">
        <v>20</v>
      </c>
      <c r="K298" s="61" t="s">
        <v>889</v>
      </c>
      <c r="L298" s="61">
        <v>550990900</v>
      </c>
      <c r="M298" s="61">
        <v>20</v>
      </c>
      <c r="N298" s="61"/>
    </row>
    <row r="299" spans="1:14" ht="23.45" customHeight="1">
      <c r="A299" s="63">
        <v>298</v>
      </c>
      <c r="B299" s="63">
        <v>11049</v>
      </c>
      <c r="C299" s="64" t="s">
        <v>890</v>
      </c>
      <c r="D299" s="63" t="s">
        <v>663</v>
      </c>
      <c r="E299" s="63" t="s">
        <v>28</v>
      </c>
      <c r="F299" s="63" t="s">
        <v>865</v>
      </c>
      <c r="G299" s="63"/>
      <c r="H299" s="63" t="s">
        <v>860</v>
      </c>
      <c r="I299" s="63" t="s">
        <v>19</v>
      </c>
      <c r="J299" s="63" t="s">
        <v>20</v>
      </c>
      <c r="K299" s="63" t="s">
        <v>891</v>
      </c>
      <c r="L299" s="63">
        <v>504553370</v>
      </c>
      <c r="M299" s="63">
        <v>20</v>
      </c>
      <c r="N299" s="63"/>
    </row>
    <row r="300" spans="1:14" ht="23.45" customHeight="1">
      <c r="A300" s="61">
        <v>299</v>
      </c>
      <c r="B300" s="61">
        <v>11736</v>
      </c>
      <c r="C300" s="62" t="s">
        <v>892</v>
      </c>
      <c r="D300" s="61" t="s">
        <v>663</v>
      </c>
      <c r="E300" s="61" t="s">
        <v>28</v>
      </c>
      <c r="F300" s="61" t="s">
        <v>855</v>
      </c>
      <c r="G300" s="61"/>
      <c r="H300" s="61" t="s">
        <v>855</v>
      </c>
      <c r="I300" s="61" t="s">
        <v>19</v>
      </c>
      <c r="J300" s="61" t="s">
        <v>20</v>
      </c>
      <c r="K300" s="61" t="s">
        <v>893</v>
      </c>
      <c r="L300" s="61">
        <v>504323296</v>
      </c>
      <c r="M300" s="61">
        <v>20</v>
      </c>
      <c r="N300" s="61"/>
    </row>
    <row r="301" spans="1:14" ht="23.45" customHeight="1">
      <c r="A301" s="63">
        <v>300</v>
      </c>
      <c r="B301" s="63">
        <v>12004</v>
      </c>
      <c r="C301" s="64" t="s">
        <v>894</v>
      </c>
      <c r="D301" s="63" t="s">
        <v>663</v>
      </c>
      <c r="E301" s="63" t="s">
        <v>16</v>
      </c>
      <c r="F301" s="63" t="s">
        <v>877</v>
      </c>
      <c r="G301" s="63" t="s">
        <v>877</v>
      </c>
      <c r="H301" s="63" t="s">
        <v>852</v>
      </c>
      <c r="I301" s="63" t="s">
        <v>19</v>
      </c>
      <c r="J301" s="63" t="s">
        <v>20</v>
      </c>
      <c r="K301" s="63" t="s">
        <v>895</v>
      </c>
      <c r="L301" s="63">
        <v>505617697</v>
      </c>
      <c r="M301" s="63">
        <v>20</v>
      </c>
      <c r="N301" s="63"/>
    </row>
    <row r="302" spans="1:14" ht="23.45" customHeight="1">
      <c r="A302" s="61">
        <v>301</v>
      </c>
      <c r="B302" s="61">
        <v>12005</v>
      </c>
      <c r="C302" s="62" t="s">
        <v>896</v>
      </c>
      <c r="D302" s="61" t="s">
        <v>663</v>
      </c>
      <c r="E302" s="61" t="s">
        <v>28</v>
      </c>
      <c r="F302" s="61" t="s">
        <v>868</v>
      </c>
      <c r="G302" s="61"/>
      <c r="H302" s="61" t="s">
        <v>868</v>
      </c>
      <c r="I302" s="61" t="s">
        <v>19</v>
      </c>
      <c r="J302" s="61" t="s">
        <v>20</v>
      </c>
      <c r="K302" s="61" t="s">
        <v>897</v>
      </c>
      <c r="L302" s="61">
        <v>555671707</v>
      </c>
      <c r="M302" s="61">
        <v>20</v>
      </c>
      <c r="N302" s="61"/>
    </row>
    <row r="303" spans="1:14" ht="23.45" customHeight="1">
      <c r="A303" s="63">
        <v>302</v>
      </c>
      <c r="B303" s="63">
        <v>11064</v>
      </c>
      <c r="C303" s="64" t="s">
        <v>898</v>
      </c>
      <c r="D303" s="63" t="s">
        <v>663</v>
      </c>
      <c r="E303" s="63" t="s">
        <v>28</v>
      </c>
      <c r="F303" s="63" t="s">
        <v>852</v>
      </c>
      <c r="G303" s="63"/>
      <c r="H303" s="63" t="s">
        <v>852</v>
      </c>
      <c r="I303" s="63" t="s">
        <v>19</v>
      </c>
      <c r="J303" s="63" t="s">
        <v>20</v>
      </c>
      <c r="K303" s="63" t="s">
        <v>899</v>
      </c>
      <c r="L303" s="63">
        <v>553343548</v>
      </c>
      <c r="M303" s="63">
        <v>20</v>
      </c>
      <c r="N303" s="63"/>
    </row>
    <row r="304" spans="1:14" ht="23.45" customHeight="1">
      <c r="A304" s="61">
        <v>303</v>
      </c>
      <c r="B304" s="61">
        <v>13279</v>
      </c>
      <c r="C304" s="62" t="s">
        <v>900</v>
      </c>
      <c r="D304" s="61" t="s">
        <v>663</v>
      </c>
      <c r="E304" s="61" t="s">
        <v>16</v>
      </c>
      <c r="F304" s="61" t="s">
        <v>877</v>
      </c>
      <c r="G304" s="61" t="s">
        <v>877</v>
      </c>
      <c r="H304" s="61" t="s">
        <v>852</v>
      </c>
      <c r="I304" s="61" t="s">
        <v>73</v>
      </c>
      <c r="J304" s="61" t="s">
        <v>20</v>
      </c>
      <c r="K304" s="61" t="s">
        <v>901</v>
      </c>
      <c r="L304" s="61">
        <v>503004635</v>
      </c>
      <c r="M304" s="61">
        <v>20</v>
      </c>
      <c r="N304" s="61"/>
    </row>
    <row r="305" spans="1:14" ht="23.45" customHeight="1">
      <c r="A305" s="63">
        <v>304</v>
      </c>
      <c r="B305" s="63">
        <v>29017</v>
      </c>
      <c r="C305" s="64" t="s">
        <v>902</v>
      </c>
      <c r="D305" s="63" t="s">
        <v>663</v>
      </c>
      <c r="E305" s="63" t="s">
        <v>16</v>
      </c>
      <c r="F305" s="63" t="s">
        <v>852</v>
      </c>
      <c r="G305" s="63"/>
      <c r="H305" s="63" t="s">
        <v>852</v>
      </c>
      <c r="I305" s="63" t="s">
        <v>73</v>
      </c>
      <c r="J305" s="63" t="s">
        <v>20</v>
      </c>
      <c r="K305" s="63" t="s">
        <v>903</v>
      </c>
      <c r="L305" s="63">
        <v>542839975</v>
      </c>
      <c r="M305" s="63">
        <v>20</v>
      </c>
      <c r="N305" s="63"/>
    </row>
    <row r="306" spans="1:14" ht="23.45" customHeight="1">
      <c r="A306" s="61">
        <v>305</v>
      </c>
      <c r="B306" s="61">
        <v>13285</v>
      </c>
      <c r="C306" s="62" t="s">
        <v>904</v>
      </c>
      <c r="D306" s="61" t="s">
        <v>663</v>
      </c>
      <c r="E306" s="61" t="s">
        <v>16</v>
      </c>
      <c r="F306" s="61" t="s">
        <v>905</v>
      </c>
      <c r="G306" s="61" t="s">
        <v>877</v>
      </c>
      <c r="H306" s="61" t="s">
        <v>873</v>
      </c>
      <c r="I306" s="61" t="s">
        <v>73</v>
      </c>
      <c r="J306" s="61" t="s">
        <v>20</v>
      </c>
      <c r="K306" s="61" t="s">
        <v>906</v>
      </c>
      <c r="L306" s="61">
        <v>530910000</v>
      </c>
      <c r="M306" s="61">
        <v>20</v>
      </c>
      <c r="N306" s="61"/>
    </row>
    <row r="307" spans="1:14" ht="23.45" customHeight="1">
      <c r="A307" s="63">
        <v>306</v>
      </c>
      <c r="B307" s="63">
        <v>11039</v>
      </c>
      <c r="C307" s="64" t="s">
        <v>907</v>
      </c>
      <c r="D307" s="63" t="s">
        <v>663</v>
      </c>
      <c r="E307" s="63" t="s">
        <v>28</v>
      </c>
      <c r="F307" s="63" t="s">
        <v>858</v>
      </c>
      <c r="G307" s="63" t="s">
        <v>908</v>
      </c>
      <c r="H307" s="63" t="s">
        <v>860</v>
      </c>
      <c r="I307" s="63" t="s">
        <v>19</v>
      </c>
      <c r="J307" s="63" t="s">
        <v>20</v>
      </c>
      <c r="K307" s="63" t="s">
        <v>909</v>
      </c>
      <c r="L307" s="63">
        <v>560406080</v>
      </c>
      <c r="M307" s="63">
        <v>20</v>
      </c>
      <c r="N307" s="63"/>
    </row>
    <row r="308" spans="1:14" ht="23.45" customHeight="1">
      <c r="A308" s="61">
        <v>307</v>
      </c>
      <c r="B308" s="61">
        <v>27008</v>
      </c>
      <c r="C308" s="62" t="s">
        <v>910</v>
      </c>
      <c r="D308" s="61" t="s">
        <v>663</v>
      </c>
      <c r="E308" s="61"/>
      <c r="F308" s="61"/>
      <c r="G308" s="61"/>
      <c r="H308" s="61"/>
      <c r="I308" s="61"/>
      <c r="J308" s="61"/>
      <c r="K308" s="61" t="s">
        <v>911</v>
      </c>
      <c r="L308" s="61"/>
      <c r="M308" s="61" t="s">
        <v>758</v>
      </c>
      <c r="N308" s="61"/>
    </row>
    <row r="309" spans="1:14" ht="23.45" customHeight="1">
      <c r="A309" s="63">
        <v>308</v>
      </c>
      <c r="B309" s="63">
        <v>12510</v>
      </c>
      <c r="C309" s="64" t="s">
        <v>912</v>
      </c>
      <c r="D309" s="63" t="s">
        <v>663</v>
      </c>
      <c r="E309" s="63"/>
      <c r="F309" s="63"/>
      <c r="G309" s="63"/>
      <c r="H309" s="63"/>
      <c r="I309" s="63"/>
      <c r="J309" s="63"/>
      <c r="K309" s="63" t="s">
        <v>913</v>
      </c>
      <c r="L309" s="63"/>
      <c r="M309" s="63" t="s">
        <v>758</v>
      </c>
      <c r="N309" s="63"/>
    </row>
    <row r="310" spans="1:14" ht="23.45" customHeight="1">
      <c r="A310" s="61">
        <v>309</v>
      </c>
      <c r="B310" s="61">
        <v>14141</v>
      </c>
      <c r="C310" s="62" t="s">
        <v>914</v>
      </c>
      <c r="D310" s="61" t="s">
        <v>348</v>
      </c>
      <c r="E310" s="61"/>
      <c r="F310" s="61"/>
      <c r="G310" s="61"/>
      <c r="H310" s="61"/>
      <c r="I310" s="61"/>
      <c r="J310" s="61"/>
      <c r="K310" s="61" t="s">
        <v>915</v>
      </c>
      <c r="L310" s="61"/>
      <c r="M310" s="61">
        <v>17</v>
      </c>
      <c r="N310" s="61"/>
    </row>
    <row r="311" spans="1:14" ht="23.45" customHeight="1">
      <c r="A311" s="63">
        <v>310</v>
      </c>
      <c r="B311" s="63">
        <v>6154</v>
      </c>
      <c r="C311" s="64" t="s">
        <v>916</v>
      </c>
      <c r="D311" s="63" t="s">
        <v>245</v>
      </c>
      <c r="E311" s="63"/>
      <c r="F311" s="63"/>
      <c r="G311" s="63"/>
      <c r="H311" s="63"/>
      <c r="I311" s="63"/>
      <c r="J311" s="63"/>
      <c r="K311" s="63" t="s">
        <v>917</v>
      </c>
      <c r="L311" s="63"/>
      <c r="M311" s="63">
        <v>15</v>
      </c>
      <c r="N311" s="63"/>
    </row>
    <row r="312" spans="1:14" ht="23.45" customHeight="1">
      <c r="A312" s="61">
        <v>311</v>
      </c>
      <c r="B312" s="61">
        <v>11739</v>
      </c>
      <c r="C312" s="62" t="s">
        <v>918</v>
      </c>
      <c r="D312" s="61" t="s">
        <v>663</v>
      </c>
      <c r="E312" s="61"/>
      <c r="F312" s="61"/>
      <c r="G312" s="61"/>
      <c r="H312" s="61"/>
      <c r="I312" s="61"/>
      <c r="J312" s="61"/>
      <c r="K312" s="61" t="s">
        <v>919</v>
      </c>
      <c r="L312" s="61"/>
      <c r="M312" s="61">
        <v>15</v>
      </c>
      <c r="N312" s="61"/>
    </row>
    <row r="313" spans="1:14" ht="23.45" customHeight="1">
      <c r="A313" s="63">
        <v>312</v>
      </c>
      <c r="B313" s="63">
        <v>9138</v>
      </c>
      <c r="C313" s="64" t="s">
        <v>920</v>
      </c>
      <c r="D313" s="63" t="s">
        <v>154</v>
      </c>
      <c r="E313" s="63"/>
      <c r="F313" s="63"/>
      <c r="G313" s="63"/>
      <c r="H313" s="63"/>
      <c r="I313" s="63"/>
      <c r="J313" s="63"/>
      <c r="K313" s="63" t="s">
        <v>921</v>
      </c>
      <c r="L313" s="63"/>
      <c r="M313" s="63">
        <v>16</v>
      </c>
      <c r="N313" s="63"/>
    </row>
    <row r="314" spans="1:14" ht="23.45" customHeight="1">
      <c r="A314" s="61">
        <v>313</v>
      </c>
      <c r="B314" s="61">
        <v>8557</v>
      </c>
      <c r="C314" s="62" t="s">
        <v>922</v>
      </c>
      <c r="D314" s="61" t="s">
        <v>15</v>
      </c>
      <c r="E314" s="61"/>
      <c r="F314" s="61"/>
      <c r="G314" s="61"/>
      <c r="H314" s="61"/>
      <c r="I314" s="61"/>
      <c r="J314" s="61"/>
      <c r="K314" s="61" t="s">
        <v>923</v>
      </c>
      <c r="L314" s="61"/>
      <c r="M314" s="61">
        <v>13</v>
      </c>
      <c r="N314" s="61"/>
    </row>
    <row r="315" spans="1:14" ht="23.45" customHeight="1">
      <c r="B315" s="65"/>
      <c r="C315" s="66"/>
      <c r="D315" s="65"/>
      <c r="E315" s="65"/>
      <c r="F315" s="65"/>
      <c r="G315" s="65"/>
      <c r="H315" s="65"/>
      <c r="I315" s="65"/>
      <c r="J315" s="65"/>
      <c r="K315" s="65"/>
      <c r="L315" s="65"/>
      <c r="M315" s="65"/>
      <c r="N315" s="65"/>
    </row>
    <row r="316" spans="1:14" ht="23.45" customHeight="1">
      <c r="B316" s="65"/>
      <c r="C316" s="66"/>
      <c r="D316" s="65"/>
      <c r="E316" s="65"/>
      <c r="F316" s="65"/>
      <c r="G316" s="65"/>
      <c r="H316" s="65"/>
      <c r="I316" s="65"/>
      <c r="J316" s="65"/>
      <c r="K316" s="65"/>
      <c r="L316" s="65"/>
      <c r="M316" s="65"/>
      <c r="N316" s="65"/>
    </row>
    <row r="317" spans="1:14" ht="23.45" customHeight="1">
      <c r="B317" s="65"/>
      <c r="C317" s="66"/>
      <c r="D317" s="65"/>
      <c r="E317" s="65"/>
      <c r="F317" s="65"/>
      <c r="G317" s="65"/>
      <c r="H317" s="65"/>
      <c r="I317" s="65"/>
      <c r="J317" s="65"/>
      <c r="K317" s="65"/>
      <c r="L317" s="65"/>
      <c r="M317" s="65"/>
      <c r="N317" s="65"/>
    </row>
    <row r="318" spans="1:14" ht="23.45" customHeight="1">
      <c r="B318" s="65"/>
      <c r="C318" s="66"/>
      <c r="D318" s="65"/>
      <c r="E318" s="65"/>
      <c r="F318" s="65"/>
      <c r="G318" s="65"/>
      <c r="H318" s="65"/>
      <c r="I318" s="65"/>
      <c r="J318" s="65"/>
      <c r="K318" s="65"/>
      <c r="L318" s="65"/>
      <c r="M318" s="65"/>
      <c r="N318" s="65"/>
    </row>
    <row r="319" spans="1:14" ht="23.45" customHeight="1">
      <c r="B319" s="65"/>
      <c r="C319" s="66"/>
      <c r="D319" s="65"/>
      <c r="E319" s="65"/>
      <c r="F319" s="65"/>
      <c r="G319" s="65"/>
      <c r="H319" s="65"/>
      <c r="I319" s="65"/>
      <c r="J319" s="65"/>
      <c r="K319" s="65"/>
      <c r="L319" s="65"/>
      <c r="M319" s="65"/>
      <c r="N319" s="65"/>
    </row>
    <row r="320" spans="1:14" ht="23.45" customHeight="1">
      <c r="B320" s="65"/>
      <c r="C320" s="66"/>
      <c r="D320" s="65"/>
      <c r="E320" s="65"/>
      <c r="F320" s="65"/>
      <c r="G320" s="65"/>
      <c r="H320" s="65"/>
      <c r="I320" s="65"/>
      <c r="J320" s="65"/>
      <c r="K320" s="65"/>
      <c r="L320" s="65"/>
      <c r="M320" s="65"/>
      <c r="N320" s="65"/>
    </row>
    <row r="321" spans="2:14" ht="23.45" customHeight="1">
      <c r="B321" s="65"/>
      <c r="C321" s="66"/>
      <c r="D321" s="65"/>
      <c r="E321" s="65"/>
      <c r="F321" s="65"/>
      <c r="G321" s="65"/>
      <c r="H321" s="65"/>
      <c r="I321" s="65"/>
      <c r="J321" s="65"/>
      <c r="K321" s="65"/>
      <c r="L321" s="65"/>
      <c r="M321" s="65"/>
      <c r="N321" s="65"/>
    </row>
    <row r="322" spans="2:14" ht="23.45" customHeight="1">
      <c r="B322" s="65"/>
      <c r="C322" s="66"/>
      <c r="D322" s="65"/>
      <c r="E322" s="65"/>
      <c r="F322" s="65"/>
      <c r="G322" s="65"/>
      <c r="H322" s="65"/>
      <c r="I322" s="65"/>
      <c r="J322" s="65"/>
      <c r="K322" s="65"/>
      <c r="L322" s="65"/>
      <c r="M322" s="65"/>
      <c r="N322" s="65"/>
    </row>
    <row r="323" spans="2:14" ht="23.45" customHeight="1">
      <c r="B323" s="65"/>
      <c r="C323" s="66"/>
      <c r="D323" s="65"/>
      <c r="E323" s="65"/>
      <c r="F323" s="65"/>
      <c r="G323" s="65"/>
      <c r="H323" s="65"/>
      <c r="I323" s="65"/>
      <c r="J323" s="65"/>
      <c r="K323" s="65"/>
      <c r="L323" s="65"/>
      <c r="M323" s="65"/>
      <c r="N323" s="65"/>
    </row>
    <row r="324" spans="2:14" ht="23.45" customHeight="1">
      <c r="B324" s="65"/>
      <c r="C324" s="66"/>
      <c r="D324" s="65"/>
      <c r="E324" s="65"/>
      <c r="F324" s="65"/>
      <c r="G324" s="65"/>
      <c r="H324" s="65"/>
      <c r="I324" s="65"/>
      <c r="J324" s="65"/>
      <c r="K324" s="65"/>
      <c r="L324" s="65"/>
      <c r="M324" s="65"/>
      <c r="N324" s="65"/>
    </row>
    <row r="325" spans="2:14" ht="23.45" customHeight="1">
      <c r="B325" s="65"/>
      <c r="C325" s="66"/>
      <c r="D325" s="65"/>
      <c r="E325" s="65"/>
      <c r="F325" s="65"/>
      <c r="G325" s="65"/>
      <c r="H325" s="65"/>
      <c r="I325" s="65"/>
      <c r="J325" s="65"/>
      <c r="K325" s="65"/>
      <c r="L325" s="65"/>
      <c r="M325" s="65"/>
      <c r="N325" s="65"/>
    </row>
    <row r="326" spans="2:14" ht="23.45" customHeight="1">
      <c r="B326" s="65"/>
      <c r="C326" s="66"/>
      <c r="D326" s="65"/>
      <c r="E326" s="65"/>
      <c r="F326" s="65"/>
      <c r="G326" s="65"/>
      <c r="H326" s="65"/>
      <c r="I326" s="65"/>
      <c r="J326" s="65"/>
      <c r="K326" s="65"/>
      <c r="L326" s="65"/>
      <c r="M326" s="65"/>
      <c r="N326" s="65"/>
    </row>
    <row r="327" spans="2:14" ht="23.45" customHeight="1">
      <c r="B327" s="65"/>
      <c r="C327" s="66"/>
      <c r="D327" s="65"/>
      <c r="E327" s="65"/>
      <c r="F327" s="65"/>
      <c r="G327" s="65"/>
      <c r="H327" s="65"/>
      <c r="I327" s="65"/>
      <c r="J327" s="65"/>
      <c r="K327" s="65"/>
      <c r="L327" s="65"/>
      <c r="M327" s="65"/>
      <c r="N327" s="65"/>
    </row>
    <row r="328" spans="2:14" ht="23.45" customHeight="1">
      <c r="B328" s="65"/>
      <c r="C328" s="66"/>
      <c r="D328" s="65"/>
      <c r="E328" s="65"/>
      <c r="F328" s="65"/>
      <c r="G328" s="65"/>
      <c r="H328" s="65"/>
      <c r="I328" s="65"/>
      <c r="J328" s="65"/>
      <c r="K328" s="65"/>
      <c r="L328" s="65"/>
      <c r="M328" s="65"/>
      <c r="N328" s="65"/>
    </row>
    <row r="329" spans="2:14" ht="23.45" customHeight="1">
      <c r="B329" s="65"/>
      <c r="C329" s="66"/>
      <c r="D329" s="65"/>
      <c r="E329" s="65"/>
      <c r="F329" s="65"/>
      <c r="G329" s="65"/>
      <c r="H329" s="65"/>
      <c r="I329" s="65"/>
      <c r="J329" s="65"/>
      <c r="K329" s="65"/>
      <c r="L329" s="65"/>
      <c r="M329" s="65"/>
      <c r="N329" s="65"/>
    </row>
    <row r="330" spans="2:14" ht="23.45" customHeight="1">
      <c r="B330" s="65"/>
      <c r="C330" s="66"/>
      <c r="D330" s="65"/>
      <c r="E330" s="65"/>
      <c r="F330" s="65"/>
      <c r="G330" s="65"/>
      <c r="H330" s="65"/>
      <c r="I330" s="65"/>
      <c r="J330" s="65"/>
      <c r="K330" s="65"/>
      <c r="L330" s="65"/>
      <c r="M330" s="65"/>
      <c r="N330" s="65"/>
    </row>
    <row r="331" spans="2:14" ht="23.45" customHeight="1">
      <c r="B331" s="65"/>
      <c r="C331" s="66"/>
      <c r="D331" s="65"/>
      <c r="E331" s="65"/>
      <c r="F331" s="65"/>
      <c r="G331" s="65"/>
      <c r="H331" s="65"/>
      <c r="I331" s="65"/>
      <c r="J331" s="65"/>
      <c r="K331" s="65"/>
      <c r="L331" s="65"/>
      <c r="M331" s="65"/>
      <c r="N331" s="65"/>
    </row>
    <row r="332" spans="2:14" ht="23.45" customHeight="1">
      <c r="B332" s="65"/>
      <c r="C332" s="66"/>
      <c r="D332" s="65"/>
      <c r="E332" s="65"/>
      <c r="F332" s="65"/>
      <c r="G332" s="65"/>
      <c r="H332" s="65"/>
      <c r="I332" s="65"/>
      <c r="J332" s="65"/>
      <c r="K332" s="65"/>
      <c r="L332" s="65"/>
      <c r="M332" s="65"/>
      <c r="N332" s="65"/>
    </row>
    <row r="333" spans="2:14" ht="23.45" customHeight="1">
      <c r="B333" s="65"/>
      <c r="C333" s="66"/>
      <c r="D333" s="65"/>
      <c r="E333" s="65"/>
      <c r="F333" s="65"/>
      <c r="G333" s="65"/>
      <c r="H333" s="65"/>
      <c r="I333" s="65"/>
      <c r="J333" s="65"/>
      <c r="K333" s="65"/>
      <c r="L333" s="65"/>
      <c r="M333" s="65"/>
      <c r="N333" s="65"/>
    </row>
    <row r="334" spans="2:14" ht="23.45" customHeight="1">
      <c r="B334" s="65"/>
      <c r="C334" s="66"/>
      <c r="D334" s="65"/>
      <c r="E334" s="65"/>
      <c r="F334" s="65"/>
      <c r="G334" s="65"/>
      <c r="H334" s="65"/>
      <c r="I334" s="65"/>
      <c r="J334" s="65"/>
      <c r="K334" s="65"/>
      <c r="L334" s="65"/>
      <c r="M334" s="65"/>
      <c r="N334" s="65"/>
    </row>
    <row r="335" spans="2:14" ht="23.45" customHeight="1">
      <c r="B335" s="65"/>
      <c r="C335" s="66"/>
      <c r="D335" s="65"/>
      <c r="E335" s="65"/>
      <c r="F335" s="65"/>
      <c r="G335" s="65"/>
      <c r="H335" s="65"/>
      <c r="I335" s="65"/>
      <c r="J335" s="65"/>
      <c r="K335" s="65"/>
      <c r="L335" s="65"/>
      <c r="M335" s="65"/>
      <c r="N335" s="65"/>
    </row>
    <row r="336" spans="2:14" ht="23.45" customHeight="1">
      <c r="B336" s="65"/>
      <c r="C336" s="66"/>
      <c r="D336" s="65"/>
      <c r="E336" s="65"/>
      <c r="F336" s="65"/>
      <c r="G336" s="65"/>
      <c r="H336" s="65"/>
      <c r="I336" s="65"/>
      <c r="J336" s="65"/>
      <c r="K336" s="65"/>
      <c r="L336" s="65"/>
      <c r="M336" s="65"/>
      <c r="N336" s="65"/>
    </row>
    <row r="337" spans="2:14" ht="23.45" customHeight="1">
      <c r="B337" s="65"/>
      <c r="C337" s="66"/>
      <c r="D337" s="65"/>
      <c r="E337" s="65"/>
      <c r="F337" s="65"/>
      <c r="G337" s="65"/>
      <c r="H337" s="65"/>
      <c r="I337" s="65"/>
      <c r="J337" s="65"/>
      <c r="K337" s="65"/>
      <c r="L337" s="65"/>
      <c r="M337" s="65"/>
      <c r="N337" s="65"/>
    </row>
    <row r="338" spans="2:14" ht="23.45" customHeight="1">
      <c r="B338" s="65"/>
      <c r="C338" s="66"/>
      <c r="D338" s="65"/>
      <c r="E338" s="65"/>
      <c r="F338" s="65"/>
      <c r="G338" s="65"/>
      <c r="H338" s="65"/>
      <c r="I338" s="65"/>
      <c r="J338" s="65"/>
      <c r="K338" s="65"/>
      <c r="L338" s="65"/>
      <c r="M338" s="65"/>
      <c r="N338" s="65"/>
    </row>
    <row r="339" spans="2:14" ht="23.45" customHeight="1">
      <c r="B339" s="65"/>
      <c r="C339" s="66"/>
      <c r="D339" s="65"/>
      <c r="E339" s="65"/>
      <c r="F339" s="65"/>
      <c r="G339" s="65"/>
      <c r="H339" s="65"/>
      <c r="I339" s="65"/>
      <c r="J339" s="65"/>
      <c r="K339" s="65"/>
      <c r="L339" s="65"/>
      <c r="M339" s="65"/>
      <c r="N339" s="65"/>
    </row>
    <row r="340" spans="2:14" ht="23.45" customHeight="1">
      <c r="B340" s="65"/>
      <c r="C340" s="66"/>
      <c r="D340" s="65"/>
      <c r="E340" s="65"/>
      <c r="F340" s="65"/>
      <c r="G340" s="65"/>
      <c r="H340" s="65"/>
      <c r="I340" s="65"/>
      <c r="J340" s="65"/>
      <c r="K340" s="65"/>
      <c r="L340" s="65"/>
      <c r="M340" s="65"/>
      <c r="N340" s="65"/>
    </row>
    <row r="341" spans="2:14" ht="23.45" customHeight="1">
      <c r="B341" s="65"/>
      <c r="C341" s="66"/>
      <c r="D341" s="65"/>
      <c r="E341" s="65"/>
      <c r="F341" s="65"/>
      <c r="G341" s="65"/>
      <c r="H341" s="65"/>
      <c r="I341" s="65"/>
      <c r="J341" s="65"/>
      <c r="K341" s="65"/>
      <c r="L341" s="65"/>
      <c r="M341" s="65"/>
      <c r="N341" s="65"/>
    </row>
    <row r="342" spans="2:14" ht="23.45" customHeight="1">
      <c r="B342" s="65"/>
      <c r="C342" s="66"/>
      <c r="D342" s="65"/>
      <c r="E342" s="65"/>
      <c r="F342" s="65"/>
      <c r="G342" s="65"/>
      <c r="H342" s="65"/>
      <c r="I342" s="65"/>
      <c r="J342" s="65"/>
      <c r="K342" s="65"/>
      <c r="L342" s="65"/>
      <c r="M342" s="65"/>
      <c r="N342" s="65"/>
    </row>
    <row r="343" spans="2:14" ht="23.45" customHeight="1">
      <c r="B343" s="65"/>
      <c r="C343" s="66"/>
      <c r="D343" s="65"/>
      <c r="E343" s="65"/>
      <c r="F343" s="65"/>
      <c r="G343" s="65"/>
      <c r="H343" s="65"/>
      <c r="I343" s="65"/>
      <c r="J343" s="65"/>
      <c r="K343" s="65"/>
      <c r="L343" s="65"/>
      <c r="M343" s="65"/>
      <c r="N343" s="65"/>
    </row>
    <row r="344" spans="2:14" ht="23.45" customHeight="1">
      <c r="B344" s="65"/>
      <c r="C344" s="66"/>
      <c r="D344" s="65"/>
      <c r="E344" s="65"/>
      <c r="F344" s="65"/>
      <c r="G344" s="65"/>
      <c r="H344" s="65"/>
      <c r="I344" s="65"/>
      <c r="J344" s="65"/>
      <c r="K344" s="65"/>
      <c r="L344" s="65"/>
      <c r="M344" s="65"/>
      <c r="N344" s="65"/>
    </row>
    <row r="345" spans="2:14" ht="23.45" customHeight="1">
      <c r="B345" s="65"/>
      <c r="C345" s="66"/>
      <c r="D345" s="65"/>
      <c r="E345" s="65"/>
      <c r="F345" s="65"/>
      <c r="G345" s="65"/>
      <c r="H345" s="65"/>
      <c r="I345" s="65"/>
      <c r="J345" s="65"/>
      <c r="K345" s="65"/>
      <c r="L345" s="65"/>
      <c r="M345" s="65"/>
      <c r="N345" s="65"/>
    </row>
    <row r="346" spans="2:14" ht="23.45" customHeight="1">
      <c r="B346" s="65"/>
      <c r="C346" s="66"/>
      <c r="D346" s="65"/>
      <c r="E346" s="65"/>
      <c r="F346" s="65"/>
      <c r="G346" s="65"/>
      <c r="H346" s="65"/>
      <c r="I346" s="65"/>
      <c r="J346" s="65"/>
      <c r="K346" s="65"/>
      <c r="L346" s="65"/>
      <c r="M346" s="65"/>
      <c r="N346" s="65"/>
    </row>
    <row r="347" spans="2:14" ht="23.45" customHeight="1">
      <c r="B347" s="65"/>
      <c r="C347" s="66"/>
      <c r="D347" s="65"/>
      <c r="E347" s="65"/>
      <c r="F347" s="65"/>
      <c r="G347" s="65"/>
      <c r="H347" s="65"/>
      <c r="I347" s="65"/>
      <c r="J347" s="65"/>
      <c r="K347" s="65"/>
      <c r="L347" s="65"/>
      <c r="M347" s="65"/>
      <c r="N347" s="65"/>
    </row>
    <row r="348" spans="2:14" ht="23.45" customHeight="1">
      <c r="B348" s="65"/>
      <c r="C348" s="66"/>
      <c r="D348" s="65"/>
      <c r="E348" s="65"/>
      <c r="F348" s="65"/>
      <c r="G348" s="65"/>
      <c r="H348" s="65"/>
      <c r="I348" s="65"/>
      <c r="J348" s="65"/>
      <c r="K348" s="65"/>
      <c r="L348" s="65"/>
      <c r="M348" s="65"/>
      <c r="N348" s="65"/>
    </row>
    <row r="349" spans="2:14" ht="23.45" customHeight="1">
      <c r="B349" s="65"/>
      <c r="C349" s="66"/>
      <c r="D349" s="65"/>
      <c r="E349" s="65"/>
      <c r="F349" s="65"/>
      <c r="G349" s="65"/>
      <c r="H349" s="65"/>
      <c r="I349" s="65"/>
      <c r="J349" s="65"/>
      <c r="K349" s="65"/>
      <c r="L349" s="65"/>
      <c r="M349" s="65"/>
      <c r="N349" s="65"/>
    </row>
    <row r="350" spans="2:14" ht="23.45" customHeight="1">
      <c r="B350" s="65"/>
      <c r="C350" s="66"/>
      <c r="D350" s="65"/>
      <c r="E350" s="65"/>
      <c r="F350" s="65"/>
      <c r="G350" s="65"/>
      <c r="H350" s="65"/>
      <c r="I350" s="65"/>
      <c r="J350" s="65"/>
      <c r="K350" s="65"/>
      <c r="L350" s="65"/>
      <c r="M350" s="65"/>
      <c r="N350" s="65"/>
    </row>
    <row r="351" spans="2:14" ht="23.45" customHeight="1">
      <c r="B351" s="65"/>
      <c r="C351" s="66"/>
      <c r="D351" s="65"/>
      <c r="E351" s="65"/>
      <c r="F351" s="65"/>
      <c r="G351" s="65"/>
      <c r="H351" s="65"/>
      <c r="I351" s="65"/>
      <c r="J351" s="65"/>
      <c r="K351" s="65"/>
      <c r="L351" s="65"/>
      <c r="M351" s="65"/>
      <c r="N351" s="65"/>
    </row>
    <row r="352" spans="2:14" ht="23.45" customHeight="1">
      <c r="B352" s="65"/>
      <c r="C352" s="66"/>
      <c r="D352" s="65"/>
      <c r="E352" s="65"/>
      <c r="F352" s="65"/>
      <c r="G352" s="65"/>
      <c r="H352" s="65"/>
      <c r="I352" s="65"/>
      <c r="J352" s="65"/>
      <c r="K352" s="65"/>
      <c r="L352" s="65"/>
      <c r="M352" s="65"/>
      <c r="N352" s="65"/>
    </row>
    <row r="353" spans="2:14" ht="23.45" customHeight="1">
      <c r="B353" s="65"/>
      <c r="C353" s="66"/>
      <c r="D353" s="65"/>
      <c r="E353" s="65"/>
      <c r="F353" s="65"/>
      <c r="G353" s="65"/>
      <c r="H353" s="65"/>
      <c r="I353" s="65"/>
      <c r="J353" s="65"/>
      <c r="K353" s="65"/>
      <c r="L353" s="65"/>
      <c r="M353" s="65"/>
      <c r="N353" s="65"/>
    </row>
    <row r="354" spans="2:14" ht="23.45" customHeight="1">
      <c r="B354" s="65"/>
      <c r="C354" s="66"/>
      <c r="D354" s="65"/>
      <c r="E354" s="65"/>
      <c r="F354" s="65"/>
      <c r="G354" s="65"/>
      <c r="H354" s="65"/>
      <c r="I354" s="65"/>
      <c r="J354" s="65"/>
      <c r="K354" s="65"/>
      <c r="L354" s="65"/>
      <c r="M354" s="65"/>
      <c r="N354" s="65"/>
    </row>
    <row r="355" spans="2:14" ht="23.45" customHeight="1">
      <c r="B355" s="65"/>
      <c r="C355" s="66"/>
      <c r="D355" s="65"/>
      <c r="E355" s="65"/>
      <c r="F355" s="65"/>
      <c r="G355" s="65"/>
      <c r="H355" s="65"/>
      <c r="I355" s="65"/>
      <c r="J355" s="65"/>
      <c r="K355" s="65"/>
      <c r="L355" s="65"/>
      <c r="M355" s="65"/>
      <c r="N355" s="65"/>
    </row>
    <row r="356" spans="2:14" ht="23.45" customHeight="1">
      <c r="B356" s="65"/>
      <c r="C356" s="66"/>
      <c r="D356" s="65"/>
      <c r="E356" s="65"/>
      <c r="F356" s="65"/>
      <c r="G356" s="65"/>
      <c r="H356" s="65"/>
      <c r="I356" s="65"/>
      <c r="J356" s="65"/>
      <c r="K356" s="65"/>
      <c r="L356" s="65"/>
      <c r="M356" s="65"/>
      <c r="N356" s="65"/>
    </row>
    <row r="357" spans="2:14" ht="23.45" customHeight="1">
      <c r="B357" s="65"/>
      <c r="C357" s="66"/>
      <c r="D357" s="65"/>
      <c r="E357" s="65"/>
      <c r="F357" s="65"/>
      <c r="G357" s="65"/>
      <c r="H357" s="65"/>
      <c r="I357" s="65"/>
      <c r="J357" s="65"/>
      <c r="K357" s="65"/>
      <c r="L357" s="65"/>
      <c r="M357" s="65"/>
      <c r="N357" s="65"/>
    </row>
    <row r="358" spans="2:14" ht="23.45" customHeight="1">
      <c r="B358" s="65"/>
      <c r="C358" s="66"/>
      <c r="D358" s="65"/>
      <c r="E358" s="65"/>
      <c r="F358" s="65"/>
      <c r="G358" s="65"/>
      <c r="H358" s="65"/>
      <c r="I358" s="65"/>
      <c r="J358" s="65"/>
      <c r="K358" s="65"/>
      <c r="L358" s="65"/>
      <c r="M358" s="65"/>
      <c r="N358" s="65"/>
    </row>
    <row r="359" spans="2:14" ht="23.45" customHeight="1">
      <c r="B359" s="65"/>
      <c r="C359" s="66"/>
      <c r="D359" s="65"/>
      <c r="E359" s="65"/>
      <c r="F359" s="65"/>
      <c r="G359" s="65"/>
      <c r="H359" s="65"/>
      <c r="I359" s="65"/>
      <c r="J359" s="65"/>
      <c r="K359" s="65"/>
      <c r="L359" s="65"/>
      <c r="M359" s="65"/>
      <c r="N359" s="65"/>
    </row>
    <row r="360" spans="2:14" ht="23.45" customHeight="1">
      <c r="B360" s="65"/>
      <c r="C360" s="66"/>
      <c r="D360" s="65"/>
      <c r="E360" s="65"/>
      <c r="F360" s="65"/>
      <c r="G360" s="65"/>
      <c r="H360" s="65"/>
      <c r="I360" s="65"/>
      <c r="J360" s="65"/>
      <c r="K360" s="65"/>
      <c r="L360" s="65"/>
      <c r="M360" s="65"/>
      <c r="N360" s="65"/>
    </row>
    <row r="361" spans="2:14" ht="23.45" customHeight="1">
      <c r="B361" s="65"/>
      <c r="C361" s="66"/>
      <c r="D361" s="65"/>
      <c r="E361" s="65"/>
      <c r="F361" s="65"/>
      <c r="G361" s="65"/>
      <c r="H361" s="65"/>
      <c r="I361" s="65"/>
      <c r="J361" s="65"/>
      <c r="K361" s="65"/>
      <c r="L361" s="65"/>
      <c r="M361" s="65"/>
      <c r="N361" s="65"/>
    </row>
    <row r="362" spans="2:14" ht="23.45" customHeight="1">
      <c r="B362" s="65"/>
      <c r="C362" s="66"/>
      <c r="D362" s="65"/>
      <c r="E362" s="65"/>
      <c r="F362" s="65"/>
      <c r="G362" s="65"/>
      <c r="H362" s="65"/>
      <c r="I362" s="65"/>
      <c r="J362" s="65"/>
      <c r="K362" s="65"/>
      <c r="L362" s="65"/>
      <c r="M362" s="65"/>
      <c r="N362" s="65"/>
    </row>
    <row r="363" spans="2:14" ht="23.45" customHeight="1">
      <c r="B363" s="65"/>
      <c r="C363" s="66"/>
      <c r="D363" s="65"/>
      <c r="E363" s="65"/>
      <c r="F363" s="65"/>
      <c r="G363" s="65"/>
      <c r="H363" s="65"/>
      <c r="I363" s="65"/>
      <c r="J363" s="65"/>
      <c r="K363" s="65"/>
      <c r="L363" s="65"/>
      <c r="M363" s="65"/>
      <c r="N363" s="65"/>
    </row>
    <row r="364" spans="2:14" ht="23.45" customHeight="1">
      <c r="B364" s="65"/>
      <c r="C364" s="66"/>
      <c r="D364" s="65"/>
      <c r="E364" s="65"/>
      <c r="F364" s="65"/>
      <c r="G364" s="65"/>
      <c r="H364" s="65"/>
      <c r="I364" s="65"/>
      <c r="J364" s="65"/>
      <c r="K364" s="65"/>
      <c r="L364" s="65"/>
      <c r="M364" s="65"/>
      <c r="N364" s="65"/>
    </row>
    <row r="365" spans="2:14" ht="23.45" customHeight="1">
      <c r="B365" s="65"/>
      <c r="C365" s="66"/>
      <c r="D365" s="65"/>
      <c r="E365" s="65"/>
      <c r="F365" s="65"/>
      <c r="G365" s="65"/>
      <c r="H365" s="65"/>
      <c r="I365" s="65"/>
      <c r="J365" s="65"/>
      <c r="K365" s="65"/>
      <c r="L365" s="65"/>
      <c r="M365" s="65"/>
      <c r="N365" s="65"/>
    </row>
    <row r="366" spans="2:14" ht="23.45" customHeight="1">
      <c r="B366" s="65"/>
      <c r="C366" s="66"/>
      <c r="D366" s="65"/>
      <c r="E366" s="65"/>
      <c r="F366" s="65"/>
      <c r="G366" s="65"/>
      <c r="H366" s="65"/>
      <c r="I366" s="65"/>
      <c r="J366" s="65"/>
      <c r="K366" s="65"/>
      <c r="L366" s="65"/>
      <c r="M366" s="65"/>
      <c r="N366" s="65"/>
    </row>
    <row r="367" spans="2:14" ht="23.45" customHeight="1">
      <c r="B367" s="65"/>
      <c r="C367" s="66"/>
      <c r="D367" s="65"/>
      <c r="E367" s="65"/>
      <c r="F367" s="65"/>
      <c r="G367" s="65"/>
      <c r="H367" s="65"/>
      <c r="I367" s="65"/>
      <c r="J367" s="65"/>
      <c r="K367" s="65"/>
      <c r="L367" s="65"/>
      <c r="M367" s="65"/>
      <c r="N367" s="65"/>
    </row>
    <row r="368" spans="2:14" ht="23.45" customHeight="1">
      <c r="B368" s="65"/>
      <c r="C368" s="66"/>
      <c r="D368" s="65"/>
      <c r="E368" s="65"/>
      <c r="F368" s="65"/>
      <c r="G368" s="65"/>
      <c r="H368" s="65"/>
      <c r="I368" s="65"/>
      <c r="J368" s="65"/>
      <c r="K368" s="65"/>
      <c r="L368" s="65"/>
      <c r="M368" s="65"/>
      <c r="N368" s="65"/>
    </row>
    <row r="369" spans="2:14" ht="23.45" customHeight="1">
      <c r="B369" s="65"/>
      <c r="C369" s="66"/>
      <c r="D369" s="65"/>
      <c r="E369" s="65"/>
      <c r="F369" s="65"/>
      <c r="G369" s="65"/>
      <c r="H369" s="65"/>
      <c r="I369" s="65"/>
      <c r="J369" s="65"/>
      <c r="K369" s="65"/>
      <c r="L369" s="65"/>
      <c r="M369" s="65"/>
      <c r="N369" s="65"/>
    </row>
    <row r="370" spans="2:14" ht="23.45" customHeight="1">
      <c r="B370" s="65"/>
      <c r="C370" s="66"/>
      <c r="D370" s="65"/>
      <c r="E370" s="65"/>
      <c r="F370" s="65"/>
      <c r="G370" s="65"/>
      <c r="H370" s="65"/>
      <c r="I370" s="65"/>
      <c r="J370" s="65"/>
      <c r="K370" s="65"/>
      <c r="L370" s="65"/>
      <c r="M370" s="65"/>
      <c r="N370" s="65"/>
    </row>
    <row r="371" spans="2:14" ht="23.45" customHeight="1">
      <c r="B371" s="65"/>
      <c r="C371" s="66"/>
      <c r="D371" s="65"/>
      <c r="E371" s="65"/>
      <c r="F371" s="65"/>
      <c r="G371" s="65"/>
      <c r="H371" s="65"/>
      <c r="I371" s="65"/>
      <c r="J371" s="65"/>
      <c r="K371" s="65"/>
      <c r="L371" s="65"/>
      <c r="M371" s="65"/>
      <c r="N371" s="65"/>
    </row>
    <row r="372" spans="2:14" ht="23.45" customHeight="1">
      <c r="B372" s="65"/>
      <c r="C372" s="66"/>
      <c r="D372" s="65"/>
      <c r="E372" s="65"/>
      <c r="F372" s="65"/>
      <c r="G372" s="65"/>
      <c r="H372" s="65"/>
      <c r="I372" s="65"/>
      <c r="J372" s="65"/>
      <c r="K372" s="65"/>
      <c r="L372" s="65"/>
      <c r="M372" s="65"/>
      <c r="N372" s="65"/>
    </row>
    <row r="373" spans="2:14" ht="23.45" customHeight="1">
      <c r="B373" s="65"/>
      <c r="C373" s="66"/>
      <c r="D373" s="65"/>
      <c r="E373" s="65"/>
      <c r="F373" s="65"/>
      <c r="G373" s="65"/>
      <c r="H373" s="65"/>
      <c r="I373" s="65"/>
      <c r="J373" s="65"/>
      <c r="K373" s="65"/>
      <c r="L373" s="65"/>
      <c r="M373" s="65"/>
      <c r="N373" s="65"/>
    </row>
    <row r="374" spans="2:14" ht="23.45" customHeight="1">
      <c r="B374" s="65"/>
      <c r="C374" s="66"/>
      <c r="D374" s="65"/>
      <c r="E374" s="65"/>
      <c r="F374" s="65"/>
      <c r="G374" s="65"/>
      <c r="H374" s="65"/>
      <c r="I374" s="65"/>
      <c r="J374" s="65"/>
      <c r="K374" s="65"/>
      <c r="L374" s="65"/>
      <c r="M374" s="65"/>
      <c r="N374" s="65"/>
    </row>
    <row r="375" spans="2:14" ht="23.45" customHeight="1">
      <c r="B375" s="65"/>
      <c r="C375" s="66"/>
      <c r="D375" s="65"/>
      <c r="E375" s="65"/>
      <c r="F375" s="65"/>
      <c r="G375" s="65"/>
      <c r="H375" s="65"/>
      <c r="I375" s="65"/>
      <c r="J375" s="65"/>
      <c r="K375" s="65"/>
      <c r="L375" s="65"/>
      <c r="M375" s="65"/>
      <c r="N375" s="65"/>
    </row>
    <row r="376" spans="2:14" ht="23.45" customHeight="1">
      <c r="B376" s="65"/>
      <c r="C376" s="66"/>
      <c r="D376" s="65"/>
      <c r="E376" s="65"/>
      <c r="F376" s="65"/>
      <c r="G376" s="65"/>
      <c r="H376" s="65"/>
      <c r="I376" s="65"/>
      <c r="J376" s="65"/>
      <c r="K376" s="65"/>
      <c r="L376" s="65"/>
      <c r="M376" s="65"/>
      <c r="N376" s="65"/>
    </row>
    <row r="377" spans="2:14" ht="23.45" customHeight="1">
      <c r="B377" s="65"/>
      <c r="C377" s="66"/>
      <c r="D377" s="65"/>
      <c r="E377" s="65"/>
      <c r="F377" s="65"/>
      <c r="G377" s="65"/>
      <c r="H377" s="65"/>
      <c r="I377" s="65"/>
      <c r="J377" s="65"/>
      <c r="K377" s="65"/>
      <c r="L377" s="65"/>
      <c r="M377" s="65"/>
      <c r="N377" s="65"/>
    </row>
    <row r="378" spans="2:14" ht="23.45" customHeight="1">
      <c r="B378" s="65"/>
      <c r="C378" s="66"/>
      <c r="D378" s="65"/>
      <c r="E378" s="65"/>
      <c r="F378" s="65"/>
      <c r="G378" s="65"/>
      <c r="H378" s="65"/>
      <c r="I378" s="65"/>
      <c r="J378" s="65"/>
      <c r="K378" s="65"/>
      <c r="L378" s="65"/>
      <c r="M378" s="65"/>
      <c r="N378" s="65"/>
    </row>
    <row r="379" spans="2:14" ht="23.45" customHeight="1">
      <c r="B379" s="65"/>
      <c r="C379" s="66"/>
      <c r="D379" s="65"/>
      <c r="E379" s="65"/>
      <c r="F379" s="65"/>
      <c r="G379" s="65"/>
      <c r="H379" s="65"/>
      <c r="I379" s="65"/>
      <c r="J379" s="65"/>
      <c r="K379" s="65"/>
      <c r="L379" s="65"/>
      <c r="M379" s="65"/>
      <c r="N379" s="65"/>
    </row>
    <row r="380" spans="2:14" ht="23.45" customHeight="1">
      <c r="B380" s="65"/>
      <c r="C380" s="66"/>
      <c r="D380" s="65"/>
      <c r="E380" s="65"/>
      <c r="F380" s="65"/>
      <c r="G380" s="65"/>
      <c r="H380" s="65"/>
      <c r="I380" s="65"/>
      <c r="J380" s="65"/>
      <c r="K380" s="65"/>
      <c r="L380" s="65"/>
      <c r="M380" s="65"/>
      <c r="N380" s="65"/>
    </row>
    <row r="381" spans="2:14" ht="23.45" customHeight="1">
      <c r="B381" s="65"/>
      <c r="C381" s="66"/>
      <c r="D381" s="65"/>
      <c r="E381" s="65"/>
      <c r="F381" s="65"/>
      <c r="G381" s="65"/>
      <c r="H381" s="65"/>
      <c r="I381" s="65"/>
      <c r="J381" s="65"/>
      <c r="K381" s="65"/>
      <c r="L381" s="65"/>
      <c r="M381" s="65"/>
      <c r="N381" s="65"/>
    </row>
    <row r="382" spans="2:14" ht="23.45" customHeight="1">
      <c r="B382" s="65"/>
      <c r="C382" s="66"/>
      <c r="D382" s="65"/>
      <c r="E382" s="65"/>
      <c r="F382" s="65"/>
      <c r="G382" s="65"/>
      <c r="H382" s="65"/>
      <c r="I382" s="65"/>
      <c r="J382" s="65"/>
      <c r="K382" s="65"/>
      <c r="L382" s="65"/>
      <c r="M382" s="65"/>
      <c r="N382" s="65"/>
    </row>
    <row r="383" spans="2:14" ht="23.45" customHeight="1">
      <c r="B383" s="65"/>
      <c r="C383" s="66"/>
      <c r="D383" s="65"/>
      <c r="E383" s="65"/>
      <c r="F383" s="65"/>
      <c r="G383" s="65"/>
      <c r="H383" s="65"/>
      <c r="I383" s="65"/>
      <c r="J383" s="65"/>
      <c r="K383" s="65"/>
      <c r="L383" s="65"/>
      <c r="M383" s="65"/>
      <c r="N383" s="65"/>
    </row>
    <row r="384" spans="2:14" ht="23.45" customHeight="1">
      <c r="B384" s="65"/>
      <c r="C384" s="66"/>
      <c r="D384" s="65"/>
      <c r="E384" s="65"/>
      <c r="F384" s="65"/>
      <c r="G384" s="65"/>
      <c r="H384" s="65"/>
      <c r="I384" s="65"/>
      <c r="J384" s="65"/>
      <c r="K384" s="65"/>
      <c r="L384" s="65"/>
      <c r="M384" s="65"/>
      <c r="N384" s="65"/>
    </row>
    <row r="385" spans="2:14" ht="23.45" customHeight="1">
      <c r="B385" s="65"/>
      <c r="C385" s="66"/>
      <c r="D385" s="65"/>
      <c r="E385" s="65"/>
      <c r="F385" s="65"/>
      <c r="G385" s="65"/>
      <c r="H385" s="65"/>
      <c r="I385" s="65"/>
      <c r="J385" s="65"/>
      <c r="K385" s="65"/>
      <c r="L385" s="65"/>
      <c r="M385" s="65"/>
      <c r="N385" s="65"/>
    </row>
    <row r="386" spans="2:14" ht="23.45" customHeight="1">
      <c r="B386" s="65"/>
      <c r="C386" s="66"/>
      <c r="D386" s="65"/>
      <c r="E386" s="65"/>
      <c r="F386" s="65"/>
      <c r="G386" s="65"/>
      <c r="H386" s="65"/>
      <c r="I386" s="65"/>
      <c r="J386" s="65"/>
      <c r="K386" s="65"/>
      <c r="L386" s="65"/>
      <c r="M386" s="65"/>
      <c r="N386" s="65"/>
    </row>
    <row r="387" spans="2:14" ht="23.45" customHeight="1">
      <c r="B387" s="65"/>
      <c r="C387" s="66"/>
      <c r="D387" s="65"/>
      <c r="E387" s="65"/>
      <c r="F387" s="65"/>
      <c r="G387" s="65"/>
      <c r="H387" s="65"/>
      <c r="I387" s="65"/>
      <c r="J387" s="65"/>
      <c r="K387" s="65"/>
      <c r="L387" s="65"/>
      <c r="M387" s="65"/>
      <c r="N387" s="65"/>
    </row>
    <row r="388" spans="2:14" ht="23.45" customHeight="1">
      <c r="B388" s="65"/>
      <c r="C388" s="66"/>
      <c r="D388" s="65"/>
      <c r="E388" s="65"/>
      <c r="F388" s="65"/>
      <c r="G388" s="65"/>
      <c r="H388" s="65"/>
      <c r="I388" s="65"/>
      <c r="J388" s="65"/>
      <c r="K388" s="65"/>
      <c r="L388" s="65"/>
      <c r="M388" s="65"/>
      <c r="N388" s="65"/>
    </row>
    <row r="389" spans="2:14" ht="23.45" customHeight="1">
      <c r="B389" s="65"/>
      <c r="C389" s="66"/>
      <c r="D389" s="65"/>
      <c r="E389" s="65"/>
      <c r="F389" s="65"/>
      <c r="G389" s="65"/>
      <c r="H389" s="65"/>
      <c r="I389" s="65"/>
      <c r="J389" s="65"/>
      <c r="K389" s="65"/>
      <c r="L389" s="65"/>
      <c r="M389" s="65"/>
      <c r="N389" s="65"/>
    </row>
    <row r="390" spans="2:14" ht="23.45" customHeight="1">
      <c r="B390" s="65"/>
      <c r="C390" s="66"/>
      <c r="D390" s="65"/>
      <c r="E390" s="65"/>
      <c r="F390" s="65"/>
      <c r="G390" s="65"/>
      <c r="H390" s="65"/>
      <c r="I390" s="65"/>
      <c r="J390" s="65"/>
      <c r="K390" s="65"/>
      <c r="L390" s="65"/>
      <c r="M390" s="65"/>
      <c r="N390" s="65"/>
    </row>
    <row r="391" spans="2:14" ht="23.45" customHeight="1">
      <c r="B391" s="65"/>
      <c r="C391" s="66"/>
      <c r="D391" s="65"/>
      <c r="E391" s="65"/>
      <c r="F391" s="65"/>
      <c r="G391" s="65"/>
      <c r="H391" s="65"/>
      <c r="I391" s="65"/>
      <c r="J391" s="65"/>
      <c r="K391" s="65"/>
      <c r="L391" s="65"/>
      <c r="M391" s="65"/>
      <c r="N391" s="65"/>
    </row>
    <row r="392" spans="2:14" ht="23.45" customHeight="1">
      <c r="B392" s="65"/>
      <c r="C392" s="66"/>
      <c r="D392" s="65"/>
      <c r="E392" s="65"/>
      <c r="F392" s="65"/>
      <c r="G392" s="65"/>
      <c r="H392" s="65"/>
      <c r="I392" s="65"/>
      <c r="J392" s="65"/>
      <c r="K392" s="65"/>
      <c r="L392" s="65"/>
      <c r="M392" s="65"/>
      <c r="N392" s="65"/>
    </row>
    <row r="393" spans="2:14" ht="23.45" customHeight="1">
      <c r="B393" s="65"/>
      <c r="C393" s="66"/>
      <c r="D393" s="65"/>
      <c r="E393" s="65"/>
      <c r="F393" s="65"/>
      <c r="G393" s="65"/>
      <c r="H393" s="65"/>
      <c r="I393" s="65"/>
      <c r="J393" s="65"/>
      <c r="K393" s="65"/>
      <c r="L393" s="65"/>
      <c r="M393" s="65"/>
      <c r="N393" s="65"/>
    </row>
    <row r="394" spans="2:14" ht="23.45" customHeight="1">
      <c r="B394" s="65"/>
      <c r="C394" s="66"/>
      <c r="D394" s="65"/>
      <c r="E394" s="65"/>
      <c r="F394" s="65"/>
      <c r="G394" s="65"/>
      <c r="H394" s="65"/>
      <c r="I394" s="65"/>
      <c r="J394" s="65"/>
      <c r="K394" s="65"/>
      <c r="L394" s="65"/>
      <c r="M394" s="65"/>
      <c r="N394" s="65"/>
    </row>
    <row r="395" spans="2:14" ht="23.45" customHeight="1">
      <c r="B395" s="65"/>
      <c r="C395" s="66"/>
      <c r="D395" s="65"/>
      <c r="E395" s="65"/>
      <c r="F395" s="65"/>
      <c r="G395" s="65"/>
      <c r="H395" s="65"/>
      <c r="I395" s="65"/>
      <c r="J395" s="65"/>
      <c r="K395" s="65"/>
      <c r="L395" s="65"/>
      <c r="M395" s="65"/>
      <c r="N395" s="65"/>
    </row>
    <row r="396" spans="2:14" ht="23.45" customHeight="1">
      <c r="B396" s="65"/>
      <c r="C396" s="66"/>
      <c r="D396" s="65"/>
      <c r="E396" s="65"/>
      <c r="F396" s="65"/>
      <c r="G396" s="65"/>
      <c r="H396" s="65"/>
      <c r="I396" s="65"/>
      <c r="J396" s="65"/>
      <c r="K396" s="65"/>
      <c r="L396" s="65"/>
      <c r="M396" s="65"/>
      <c r="N396" s="65"/>
    </row>
    <row r="397" spans="2:14" ht="23.45" customHeight="1">
      <c r="B397" s="65"/>
      <c r="C397" s="66"/>
      <c r="D397" s="65"/>
      <c r="E397" s="65"/>
      <c r="F397" s="65"/>
      <c r="G397" s="65"/>
      <c r="H397" s="65"/>
      <c r="I397" s="65"/>
      <c r="J397" s="65"/>
      <c r="K397" s="65"/>
      <c r="L397" s="65"/>
      <c r="M397" s="65"/>
      <c r="N397" s="65"/>
    </row>
    <row r="398" spans="2:14" ht="23.45" customHeight="1">
      <c r="B398" s="65"/>
      <c r="C398" s="66"/>
      <c r="D398" s="65"/>
      <c r="E398" s="65"/>
      <c r="F398" s="65"/>
      <c r="G398" s="65"/>
      <c r="H398" s="65"/>
      <c r="I398" s="65"/>
      <c r="J398" s="65"/>
      <c r="K398" s="65"/>
      <c r="L398" s="65"/>
      <c r="M398" s="65"/>
      <c r="N398" s="65"/>
    </row>
    <row r="399" spans="2:14" ht="23.45" customHeight="1">
      <c r="B399" s="65"/>
      <c r="C399" s="66"/>
      <c r="D399" s="65"/>
      <c r="E399" s="65"/>
      <c r="F399" s="65"/>
      <c r="G399" s="65"/>
      <c r="H399" s="65"/>
      <c r="I399" s="65"/>
      <c r="J399" s="65"/>
      <c r="K399" s="65"/>
      <c r="L399" s="65"/>
      <c r="M399" s="65"/>
      <c r="N399" s="65"/>
    </row>
    <row r="400" spans="2:14" ht="23.45" customHeight="1">
      <c r="B400" s="65"/>
      <c r="C400" s="66"/>
      <c r="D400" s="65"/>
      <c r="E400" s="65"/>
      <c r="F400" s="65"/>
      <c r="G400" s="65"/>
      <c r="H400" s="65"/>
      <c r="I400" s="65"/>
      <c r="J400" s="65"/>
      <c r="K400" s="65"/>
      <c r="L400" s="65"/>
      <c r="M400" s="65"/>
      <c r="N400" s="65"/>
    </row>
    <row r="401" spans="2:14" ht="23.45" customHeight="1">
      <c r="B401" s="65"/>
      <c r="C401" s="66"/>
      <c r="D401" s="65"/>
      <c r="E401" s="65"/>
      <c r="F401" s="65"/>
      <c r="G401" s="65"/>
      <c r="H401" s="65"/>
      <c r="I401" s="65"/>
      <c r="J401" s="65"/>
      <c r="K401" s="65"/>
      <c r="L401" s="65"/>
      <c r="M401" s="65"/>
      <c r="N401" s="65"/>
    </row>
    <row r="402" spans="2:14" ht="23.45" customHeight="1">
      <c r="B402" s="65"/>
      <c r="C402" s="66"/>
      <c r="D402" s="65"/>
      <c r="E402" s="65"/>
      <c r="F402" s="65"/>
      <c r="G402" s="65"/>
      <c r="H402" s="65"/>
      <c r="I402" s="65"/>
      <c r="J402" s="65"/>
      <c r="K402" s="65"/>
      <c r="L402" s="65"/>
      <c r="M402" s="65"/>
      <c r="N402" s="65"/>
    </row>
    <row r="403" spans="2:14" ht="23.45" customHeight="1">
      <c r="B403" s="65"/>
      <c r="C403" s="66"/>
      <c r="D403" s="65"/>
      <c r="E403" s="65"/>
      <c r="F403" s="65"/>
      <c r="G403" s="65"/>
      <c r="H403" s="65"/>
      <c r="I403" s="65"/>
      <c r="J403" s="65"/>
      <c r="K403" s="65"/>
      <c r="L403" s="65"/>
      <c r="M403" s="65"/>
      <c r="N403" s="65"/>
    </row>
    <row r="404" spans="2:14" ht="23.45" customHeight="1">
      <c r="B404" s="65"/>
      <c r="C404" s="66"/>
      <c r="D404" s="65"/>
      <c r="E404" s="65"/>
      <c r="F404" s="65"/>
      <c r="G404" s="65"/>
      <c r="H404" s="65"/>
      <c r="I404" s="65"/>
      <c r="J404" s="65"/>
      <c r="K404" s="65"/>
      <c r="L404" s="65"/>
      <c r="M404" s="65"/>
      <c r="N404" s="65"/>
    </row>
    <row r="405" spans="2:14" ht="23.45" customHeight="1">
      <c r="B405" s="65"/>
      <c r="C405" s="66"/>
      <c r="D405" s="65"/>
      <c r="E405" s="65"/>
      <c r="F405" s="65"/>
      <c r="G405" s="65"/>
      <c r="H405" s="65"/>
      <c r="I405" s="65"/>
      <c r="J405" s="65"/>
      <c r="K405" s="65"/>
      <c r="L405" s="65"/>
      <c r="M405" s="65"/>
      <c r="N405" s="65"/>
    </row>
    <row r="406" spans="2:14" ht="23.45" customHeight="1">
      <c r="B406" s="65"/>
      <c r="C406" s="66"/>
      <c r="D406" s="65"/>
      <c r="E406" s="65"/>
      <c r="F406" s="65"/>
      <c r="G406" s="65"/>
      <c r="H406" s="65"/>
      <c r="I406" s="65"/>
      <c r="J406" s="65"/>
      <c r="K406" s="65"/>
      <c r="L406" s="65"/>
      <c r="M406" s="65"/>
      <c r="N406" s="65"/>
    </row>
    <row r="407" spans="2:14" ht="23.45" customHeight="1">
      <c r="B407" s="65"/>
      <c r="C407" s="66"/>
      <c r="D407" s="65"/>
      <c r="E407" s="65"/>
      <c r="F407" s="65"/>
      <c r="G407" s="65"/>
      <c r="H407" s="65"/>
      <c r="I407" s="65"/>
      <c r="J407" s="65"/>
      <c r="K407" s="65"/>
      <c r="L407" s="65"/>
      <c r="M407" s="65"/>
      <c r="N407" s="65"/>
    </row>
    <row r="408" spans="2:14" ht="23.45" customHeight="1">
      <c r="B408" s="65"/>
      <c r="C408" s="66"/>
      <c r="D408" s="65"/>
      <c r="E408" s="65"/>
      <c r="F408" s="65"/>
      <c r="G408" s="65"/>
      <c r="H408" s="65"/>
      <c r="I408" s="65"/>
      <c r="J408" s="65"/>
      <c r="K408" s="65"/>
      <c r="L408" s="65"/>
      <c r="M408" s="65"/>
      <c r="N408" s="65"/>
    </row>
    <row r="409" spans="2:14" ht="23.45" customHeight="1">
      <c r="B409" s="65"/>
      <c r="C409" s="66"/>
      <c r="D409" s="65"/>
      <c r="E409" s="65"/>
      <c r="F409" s="65"/>
      <c r="G409" s="65"/>
      <c r="H409" s="65"/>
      <c r="I409" s="65"/>
      <c r="J409" s="65"/>
      <c r="K409" s="65"/>
      <c r="L409" s="65"/>
      <c r="M409" s="65"/>
      <c r="N409" s="65"/>
    </row>
    <row r="410" spans="2:14" ht="23.45" customHeight="1">
      <c r="B410" s="65"/>
      <c r="C410" s="66"/>
      <c r="D410" s="65"/>
      <c r="E410" s="65"/>
      <c r="F410" s="65"/>
      <c r="G410" s="65"/>
      <c r="H410" s="65"/>
      <c r="I410" s="65"/>
      <c r="J410" s="65"/>
      <c r="K410" s="65"/>
      <c r="L410" s="65"/>
      <c r="M410" s="65"/>
      <c r="N410" s="65"/>
    </row>
    <row r="411" spans="2:14" ht="23.45" customHeight="1">
      <c r="B411" s="65"/>
      <c r="C411" s="66"/>
      <c r="D411" s="65"/>
      <c r="E411" s="65"/>
      <c r="F411" s="65"/>
      <c r="G411" s="65"/>
      <c r="H411" s="65"/>
      <c r="I411" s="65"/>
      <c r="J411" s="65"/>
      <c r="K411" s="65"/>
      <c r="L411" s="65"/>
      <c r="M411" s="65"/>
      <c r="N411" s="65"/>
    </row>
    <row r="412" spans="2:14" ht="23.45" customHeight="1">
      <c r="B412" s="65"/>
      <c r="C412" s="66"/>
      <c r="D412" s="65"/>
      <c r="E412" s="65"/>
      <c r="F412" s="65"/>
      <c r="G412" s="65"/>
      <c r="H412" s="65"/>
      <c r="I412" s="65"/>
      <c r="J412" s="65"/>
      <c r="K412" s="65"/>
      <c r="L412" s="65"/>
      <c r="M412" s="65"/>
      <c r="N412" s="65"/>
    </row>
    <row r="413" spans="2:14" ht="23.45" customHeight="1">
      <c r="B413" s="65"/>
      <c r="C413" s="66"/>
      <c r="D413" s="65"/>
      <c r="E413" s="65"/>
      <c r="F413" s="65"/>
      <c r="G413" s="65"/>
      <c r="H413" s="65"/>
      <c r="I413" s="65"/>
      <c r="J413" s="65"/>
      <c r="K413" s="65"/>
      <c r="L413" s="65"/>
      <c r="M413" s="65"/>
      <c r="N413" s="65"/>
    </row>
    <row r="414" spans="2:14" ht="23.45" customHeight="1">
      <c r="B414" s="65"/>
      <c r="C414" s="66"/>
      <c r="D414" s="65"/>
      <c r="E414" s="65"/>
      <c r="F414" s="65"/>
      <c r="G414" s="65"/>
      <c r="H414" s="65"/>
      <c r="I414" s="65"/>
      <c r="J414" s="65"/>
      <c r="K414" s="65"/>
      <c r="L414" s="65"/>
      <c r="M414" s="65"/>
      <c r="N414" s="65"/>
    </row>
    <row r="415" spans="2:14" ht="23.45" customHeight="1">
      <c r="B415" s="65"/>
      <c r="C415" s="66"/>
      <c r="D415" s="65"/>
      <c r="E415" s="65"/>
      <c r="F415" s="65"/>
      <c r="G415" s="65"/>
      <c r="H415" s="65"/>
      <c r="I415" s="65"/>
      <c r="J415" s="65"/>
      <c r="K415" s="65"/>
      <c r="L415" s="65"/>
      <c r="M415" s="65"/>
      <c r="N415" s="65"/>
    </row>
    <row r="416" spans="2:14" ht="23.45" customHeight="1">
      <c r="B416" s="65"/>
      <c r="C416" s="66"/>
      <c r="D416" s="65"/>
      <c r="E416" s="65"/>
      <c r="F416" s="65"/>
      <c r="G416" s="65"/>
      <c r="H416" s="65"/>
      <c r="I416" s="65"/>
      <c r="J416" s="65"/>
      <c r="K416" s="65"/>
      <c r="L416" s="65"/>
      <c r="M416" s="65"/>
      <c r="N416" s="65"/>
    </row>
    <row r="417" spans="2:14" ht="23.45" customHeight="1">
      <c r="B417" s="65"/>
      <c r="C417" s="66"/>
      <c r="D417" s="65"/>
      <c r="E417" s="65"/>
      <c r="F417" s="65"/>
      <c r="G417" s="65"/>
      <c r="H417" s="65"/>
      <c r="I417" s="65"/>
      <c r="J417" s="65"/>
      <c r="K417" s="65"/>
      <c r="L417" s="65"/>
      <c r="M417" s="65"/>
      <c r="N417" s="65"/>
    </row>
    <row r="418" spans="2:14" ht="23.45" customHeight="1">
      <c r="B418" s="65"/>
      <c r="C418" s="66"/>
      <c r="D418" s="65"/>
      <c r="E418" s="65"/>
      <c r="F418" s="65"/>
      <c r="G418" s="65"/>
      <c r="H418" s="65"/>
      <c r="I418" s="65"/>
      <c r="J418" s="65"/>
      <c r="K418" s="65"/>
      <c r="L418" s="65"/>
      <c r="M418" s="65"/>
      <c r="N418" s="65"/>
    </row>
    <row r="419" spans="2:14" ht="23.45" customHeight="1">
      <c r="B419" s="65"/>
      <c r="C419" s="66"/>
      <c r="D419" s="65"/>
      <c r="E419" s="65"/>
      <c r="F419" s="65"/>
      <c r="G419" s="65"/>
      <c r="H419" s="65"/>
      <c r="I419" s="65"/>
      <c r="J419" s="65"/>
      <c r="K419" s="65"/>
      <c r="L419" s="65"/>
      <c r="M419" s="65"/>
      <c r="N419" s="65"/>
    </row>
    <row r="420" spans="2:14" ht="23.45" customHeight="1">
      <c r="B420" s="65"/>
      <c r="C420" s="66"/>
      <c r="D420" s="65"/>
      <c r="E420" s="65"/>
      <c r="F420" s="65"/>
      <c r="G420" s="65"/>
      <c r="H420" s="65"/>
      <c r="I420" s="65"/>
      <c r="J420" s="65"/>
      <c r="K420" s="65"/>
      <c r="L420" s="65"/>
      <c r="M420" s="65"/>
      <c r="N420" s="65"/>
    </row>
    <row r="421" spans="2:14" ht="23.45" customHeight="1">
      <c r="B421" s="65"/>
      <c r="C421" s="66"/>
      <c r="D421" s="65"/>
      <c r="E421" s="65"/>
      <c r="F421" s="65"/>
      <c r="G421" s="65"/>
      <c r="H421" s="65"/>
      <c r="I421" s="65"/>
      <c r="J421" s="65"/>
      <c r="K421" s="65"/>
      <c r="L421" s="65"/>
      <c r="M421" s="65"/>
      <c r="N421" s="65"/>
    </row>
    <row r="422" spans="2:14" ht="23.45" customHeight="1">
      <c r="B422" s="65"/>
      <c r="C422" s="66"/>
      <c r="D422" s="65"/>
      <c r="E422" s="65"/>
      <c r="F422" s="65"/>
      <c r="G422" s="65"/>
      <c r="H422" s="65"/>
      <c r="I422" s="65"/>
      <c r="J422" s="65"/>
      <c r="K422" s="65"/>
      <c r="L422" s="65"/>
      <c r="M422" s="65"/>
      <c r="N422" s="65"/>
    </row>
    <row r="423" spans="2:14" ht="23.45" customHeight="1">
      <c r="B423" s="65"/>
      <c r="C423" s="66"/>
      <c r="D423" s="65"/>
      <c r="E423" s="65"/>
      <c r="F423" s="65"/>
      <c r="G423" s="65"/>
      <c r="H423" s="65"/>
      <c r="I423" s="65"/>
      <c r="J423" s="65"/>
      <c r="K423" s="65"/>
      <c r="L423" s="65"/>
      <c r="M423" s="65"/>
      <c r="N423" s="65"/>
    </row>
    <row r="424" spans="2:14" ht="23.45" customHeight="1">
      <c r="B424" s="65"/>
      <c r="C424" s="66"/>
      <c r="D424" s="65"/>
      <c r="E424" s="65"/>
      <c r="F424" s="65"/>
      <c r="G424" s="65"/>
      <c r="H424" s="65"/>
      <c r="I424" s="65"/>
      <c r="J424" s="65"/>
      <c r="K424" s="65"/>
      <c r="L424" s="65"/>
      <c r="M424" s="65"/>
      <c r="N424" s="65"/>
    </row>
    <row r="425" spans="2:14" ht="23.45" customHeight="1">
      <c r="B425" s="65"/>
      <c r="C425" s="66"/>
      <c r="D425" s="65"/>
      <c r="E425" s="65"/>
      <c r="F425" s="65"/>
      <c r="G425" s="65"/>
      <c r="H425" s="65"/>
      <c r="I425" s="65"/>
      <c r="J425" s="65"/>
      <c r="K425" s="65"/>
      <c r="L425" s="65"/>
      <c r="M425" s="65"/>
      <c r="N425" s="65"/>
    </row>
    <row r="426" spans="2:14" ht="23.45" customHeight="1">
      <c r="B426" s="65"/>
      <c r="C426" s="66"/>
      <c r="D426" s="65"/>
      <c r="E426" s="65"/>
      <c r="F426" s="65"/>
      <c r="G426" s="65"/>
      <c r="H426" s="65"/>
      <c r="I426" s="65"/>
      <c r="J426" s="65"/>
      <c r="K426" s="65"/>
      <c r="L426" s="65"/>
      <c r="M426" s="65"/>
      <c r="N426" s="65"/>
    </row>
    <row r="427" spans="2:14" ht="23.45" customHeight="1">
      <c r="B427" s="65"/>
      <c r="C427" s="66"/>
      <c r="D427" s="65"/>
      <c r="E427" s="65"/>
      <c r="F427" s="65"/>
      <c r="G427" s="65"/>
      <c r="H427" s="65"/>
      <c r="I427" s="65"/>
      <c r="J427" s="65"/>
      <c r="K427" s="65"/>
      <c r="L427" s="65"/>
      <c r="M427" s="65"/>
      <c r="N427" s="65"/>
    </row>
    <row r="428" spans="2:14" ht="23.45" customHeight="1">
      <c r="B428" s="65"/>
      <c r="C428" s="66"/>
      <c r="D428" s="65"/>
      <c r="E428" s="65"/>
      <c r="F428" s="65"/>
      <c r="G428" s="65"/>
      <c r="H428" s="65"/>
      <c r="I428" s="65"/>
      <c r="J428" s="65"/>
      <c r="K428" s="65"/>
      <c r="L428" s="65"/>
      <c r="M428" s="65"/>
      <c r="N428" s="65"/>
    </row>
    <row r="429" spans="2:14" ht="23.45" customHeight="1">
      <c r="B429" s="65"/>
      <c r="C429" s="66"/>
      <c r="D429" s="65"/>
      <c r="E429" s="65"/>
      <c r="F429" s="65"/>
      <c r="G429" s="65"/>
      <c r="H429" s="65"/>
      <c r="I429" s="65"/>
      <c r="J429" s="65"/>
      <c r="K429" s="65"/>
      <c r="L429" s="65"/>
      <c r="M429" s="65"/>
      <c r="N429" s="65"/>
    </row>
    <row r="430" spans="2:14" ht="23.45" customHeight="1">
      <c r="B430" s="65"/>
      <c r="C430" s="66"/>
      <c r="D430" s="65"/>
      <c r="E430" s="65"/>
      <c r="F430" s="65"/>
      <c r="G430" s="65"/>
      <c r="H430" s="65"/>
      <c r="I430" s="65"/>
      <c r="J430" s="65"/>
      <c r="K430" s="65"/>
      <c r="L430" s="65"/>
      <c r="M430" s="65"/>
      <c r="N430" s="65"/>
    </row>
    <row r="431" spans="2:14" ht="23.45" customHeight="1">
      <c r="B431" s="65"/>
      <c r="C431" s="66"/>
      <c r="D431" s="65"/>
      <c r="E431" s="65"/>
      <c r="F431" s="65"/>
      <c r="G431" s="65"/>
      <c r="H431" s="65"/>
      <c r="I431" s="65"/>
      <c r="J431" s="65"/>
      <c r="K431" s="65"/>
      <c r="L431" s="65"/>
      <c r="M431" s="65"/>
      <c r="N431" s="65"/>
    </row>
    <row r="432" spans="2:14" ht="23.45" customHeight="1">
      <c r="B432" s="65"/>
      <c r="C432" s="66"/>
      <c r="D432" s="65"/>
      <c r="E432" s="65"/>
      <c r="F432" s="65"/>
      <c r="G432" s="65"/>
      <c r="H432" s="65"/>
      <c r="I432" s="65"/>
      <c r="J432" s="65"/>
      <c r="K432" s="65"/>
      <c r="L432" s="65"/>
      <c r="M432" s="65"/>
      <c r="N432" s="65"/>
    </row>
    <row r="433" spans="2:14" ht="23.45" customHeight="1">
      <c r="B433" s="65"/>
      <c r="C433" s="66"/>
      <c r="D433" s="65"/>
      <c r="E433" s="65"/>
      <c r="F433" s="65"/>
      <c r="G433" s="65"/>
      <c r="H433" s="65"/>
      <c r="I433" s="65"/>
      <c r="J433" s="65"/>
      <c r="K433" s="65"/>
      <c r="L433" s="65"/>
      <c r="M433" s="65"/>
      <c r="N433" s="65"/>
    </row>
    <row r="434" spans="2:14" ht="23.45" customHeight="1">
      <c r="B434" s="65"/>
      <c r="C434" s="66"/>
      <c r="D434" s="65"/>
      <c r="E434" s="65"/>
      <c r="F434" s="65"/>
      <c r="G434" s="65"/>
      <c r="H434" s="65"/>
      <c r="I434" s="65"/>
      <c r="J434" s="65"/>
      <c r="K434" s="65"/>
      <c r="L434" s="65"/>
      <c r="M434" s="65"/>
      <c r="N434" s="65"/>
    </row>
    <row r="435" spans="2:14" ht="23.45" customHeight="1">
      <c r="B435" s="65"/>
      <c r="C435" s="66"/>
      <c r="D435" s="65"/>
      <c r="E435" s="65"/>
      <c r="F435" s="65"/>
      <c r="G435" s="65"/>
      <c r="H435" s="65"/>
      <c r="I435" s="65"/>
      <c r="J435" s="65"/>
      <c r="K435" s="65"/>
      <c r="L435" s="65"/>
      <c r="M435" s="65"/>
      <c r="N435" s="65"/>
    </row>
    <row r="436" spans="2:14" ht="23.45" customHeight="1">
      <c r="B436" s="65"/>
      <c r="C436" s="66"/>
      <c r="D436" s="65"/>
      <c r="E436" s="65"/>
      <c r="F436" s="65"/>
      <c r="G436" s="65"/>
      <c r="H436" s="65"/>
      <c r="I436" s="65"/>
      <c r="J436" s="65"/>
      <c r="K436" s="65"/>
      <c r="L436" s="65"/>
      <c r="M436" s="65"/>
      <c r="N436" s="65"/>
    </row>
    <row r="437" spans="2:14" ht="23.45" customHeight="1">
      <c r="B437" s="65"/>
      <c r="C437" s="66"/>
      <c r="D437" s="65"/>
      <c r="E437" s="65"/>
      <c r="F437" s="65"/>
      <c r="G437" s="65"/>
      <c r="H437" s="65"/>
      <c r="I437" s="65"/>
      <c r="J437" s="65"/>
      <c r="K437" s="65"/>
      <c r="L437" s="65"/>
      <c r="M437" s="65"/>
      <c r="N437" s="65"/>
    </row>
    <row r="438" spans="2:14" ht="23.45" customHeight="1">
      <c r="B438" s="65"/>
      <c r="C438" s="66"/>
      <c r="D438" s="65"/>
      <c r="E438" s="65"/>
      <c r="F438" s="65"/>
      <c r="G438" s="65"/>
      <c r="H438" s="65"/>
      <c r="I438" s="65"/>
      <c r="J438" s="65"/>
      <c r="K438" s="65"/>
      <c r="L438" s="65"/>
      <c r="M438" s="65"/>
      <c r="N438" s="65"/>
    </row>
    <row r="439" spans="2:14" ht="23.45" customHeight="1">
      <c r="B439" s="65"/>
      <c r="C439" s="66"/>
      <c r="D439" s="65"/>
      <c r="E439" s="65"/>
      <c r="F439" s="65"/>
      <c r="G439" s="65"/>
      <c r="H439" s="65"/>
      <c r="I439" s="65"/>
      <c r="J439" s="65"/>
      <c r="K439" s="65"/>
      <c r="L439" s="65"/>
      <c r="M439" s="65"/>
      <c r="N439" s="65"/>
    </row>
    <row r="440" spans="2:14" ht="23.45" customHeight="1">
      <c r="B440" s="65"/>
      <c r="C440" s="66"/>
      <c r="D440" s="65"/>
      <c r="E440" s="65"/>
      <c r="F440" s="65"/>
      <c r="G440" s="65"/>
      <c r="H440" s="65"/>
      <c r="I440" s="65"/>
      <c r="J440" s="65"/>
      <c r="K440" s="65"/>
      <c r="L440" s="65"/>
      <c r="M440" s="65"/>
      <c r="N440" s="65"/>
    </row>
    <row r="441" spans="2:14" ht="23.45" customHeight="1">
      <c r="B441" s="65"/>
      <c r="C441" s="66"/>
      <c r="D441" s="65"/>
      <c r="E441" s="65"/>
      <c r="F441" s="65"/>
      <c r="G441" s="65"/>
      <c r="H441" s="65"/>
      <c r="I441" s="65"/>
      <c r="J441" s="65"/>
      <c r="K441" s="65"/>
      <c r="L441" s="65"/>
      <c r="M441" s="65"/>
      <c r="N441" s="65"/>
    </row>
    <row r="442" spans="2:14" ht="23.45" customHeight="1">
      <c r="B442" s="65"/>
      <c r="C442" s="66"/>
      <c r="D442" s="65"/>
      <c r="E442" s="65"/>
      <c r="F442" s="65"/>
      <c r="G442" s="65"/>
      <c r="H442" s="65"/>
      <c r="I442" s="65"/>
      <c r="J442" s="65"/>
      <c r="K442" s="65"/>
      <c r="L442" s="65"/>
      <c r="M442" s="65"/>
      <c r="N442" s="65"/>
    </row>
    <row r="443" spans="2:14" ht="23.45" customHeight="1">
      <c r="B443" s="65"/>
      <c r="C443" s="66"/>
      <c r="D443" s="65"/>
      <c r="E443" s="65"/>
      <c r="F443" s="65"/>
      <c r="G443" s="65"/>
      <c r="H443" s="65"/>
      <c r="I443" s="65"/>
      <c r="J443" s="65"/>
      <c r="K443" s="65"/>
      <c r="L443" s="65"/>
      <c r="M443" s="65"/>
      <c r="N443" s="65"/>
    </row>
    <row r="444" spans="2:14" ht="23.45" customHeight="1">
      <c r="B444" s="65"/>
      <c r="C444" s="66"/>
      <c r="D444" s="65"/>
      <c r="E444" s="65"/>
      <c r="F444" s="65"/>
      <c r="G444" s="65"/>
      <c r="H444" s="65"/>
      <c r="I444" s="65"/>
      <c r="J444" s="65"/>
      <c r="K444" s="65"/>
      <c r="L444" s="65"/>
      <c r="M444" s="65"/>
      <c r="N444" s="65"/>
    </row>
    <row r="445" spans="2:14" ht="23.45" customHeight="1">
      <c r="B445" s="65"/>
      <c r="C445" s="66"/>
      <c r="D445" s="65"/>
      <c r="E445" s="65"/>
      <c r="F445" s="65"/>
      <c r="G445" s="65"/>
      <c r="H445" s="65"/>
      <c r="I445" s="65"/>
      <c r="J445" s="65"/>
      <c r="K445" s="65"/>
      <c r="L445" s="65"/>
      <c r="M445" s="65"/>
      <c r="N445" s="65"/>
    </row>
    <row r="446" spans="2:14" ht="23.45" customHeight="1">
      <c r="B446" s="65"/>
      <c r="C446" s="66"/>
      <c r="D446" s="65"/>
      <c r="E446" s="65"/>
      <c r="F446" s="65"/>
      <c r="G446" s="65"/>
      <c r="H446" s="65"/>
      <c r="I446" s="65"/>
      <c r="J446" s="65"/>
      <c r="K446" s="65"/>
      <c r="L446" s="65"/>
      <c r="M446" s="65"/>
      <c r="N446" s="65"/>
    </row>
    <row r="447" spans="2:14" ht="23.45" customHeight="1">
      <c r="B447" s="65"/>
      <c r="C447" s="66"/>
      <c r="D447" s="65"/>
      <c r="E447" s="65"/>
      <c r="F447" s="65"/>
      <c r="G447" s="65"/>
      <c r="H447" s="65"/>
      <c r="I447" s="65"/>
      <c r="J447" s="65"/>
      <c r="K447" s="65"/>
      <c r="L447" s="65"/>
      <c r="M447" s="65"/>
      <c r="N447" s="65"/>
    </row>
    <row r="448" spans="2:14" ht="23.45" customHeight="1">
      <c r="B448" s="65"/>
      <c r="C448" s="66"/>
      <c r="D448" s="65"/>
      <c r="E448" s="65"/>
      <c r="F448" s="65"/>
      <c r="G448" s="65"/>
      <c r="H448" s="65"/>
      <c r="I448" s="65"/>
      <c r="J448" s="65"/>
      <c r="K448" s="65"/>
      <c r="L448" s="65"/>
      <c r="M448" s="65"/>
      <c r="N448" s="65"/>
    </row>
    <row r="449" spans="2:14" ht="23.45" customHeight="1">
      <c r="B449" s="65"/>
      <c r="C449" s="66"/>
      <c r="D449" s="65"/>
      <c r="E449" s="65"/>
      <c r="F449" s="65"/>
      <c r="G449" s="65"/>
      <c r="H449" s="65"/>
      <c r="I449" s="65"/>
      <c r="J449" s="65"/>
      <c r="K449" s="65"/>
      <c r="L449" s="65"/>
      <c r="M449" s="65"/>
      <c r="N449" s="65"/>
    </row>
    <row r="450" spans="2:14" ht="23.45" customHeight="1">
      <c r="B450" s="65"/>
      <c r="C450" s="66"/>
      <c r="D450" s="65"/>
      <c r="E450" s="65"/>
      <c r="F450" s="65"/>
      <c r="G450" s="65"/>
      <c r="H450" s="65"/>
      <c r="I450" s="65"/>
      <c r="J450" s="65"/>
      <c r="K450" s="65"/>
      <c r="L450" s="65"/>
      <c r="M450" s="65"/>
      <c r="N450" s="65"/>
    </row>
    <row r="451" spans="2:14" ht="23.45" customHeight="1">
      <c r="B451" s="65"/>
      <c r="C451" s="66"/>
      <c r="D451" s="65"/>
      <c r="E451" s="65"/>
      <c r="F451" s="65"/>
      <c r="G451" s="65"/>
      <c r="H451" s="65"/>
      <c r="I451" s="65"/>
      <c r="J451" s="65"/>
      <c r="K451" s="65"/>
      <c r="L451" s="65"/>
      <c r="M451" s="65"/>
      <c r="N451" s="65"/>
    </row>
    <row r="452" spans="2:14" ht="23.45" customHeight="1">
      <c r="B452" s="65"/>
      <c r="C452" s="66"/>
      <c r="D452" s="65"/>
      <c r="E452" s="65"/>
      <c r="F452" s="65"/>
      <c r="G452" s="65"/>
      <c r="H452" s="65"/>
      <c r="I452" s="65"/>
      <c r="J452" s="65"/>
      <c r="K452" s="65"/>
      <c r="L452" s="65"/>
      <c r="M452" s="65"/>
      <c r="N452" s="65"/>
    </row>
    <row r="453" spans="2:14" ht="23.45" customHeight="1">
      <c r="B453" s="65"/>
      <c r="C453" s="66"/>
      <c r="D453" s="65"/>
      <c r="E453" s="65"/>
      <c r="F453" s="65"/>
      <c r="G453" s="65"/>
      <c r="H453" s="65"/>
      <c r="I453" s="65"/>
      <c r="J453" s="65"/>
      <c r="K453" s="65"/>
      <c r="L453" s="65"/>
      <c r="M453" s="65"/>
      <c r="N453" s="65"/>
    </row>
    <row r="454" spans="2:14" ht="23.45" customHeight="1">
      <c r="B454" s="65"/>
      <c r="C454" s="66"/>
      <c r="D454" s="65"/>
      <c r="E454" s="65"/>
      <c r="F454" s="65"/>
      <c r="G454" s="65"/>
      <c r="H454" s="65"/>
      <c r="I454" s="65"/>
      <c r="J454" s="65"/>
      <c r="K454" s="65"/>
      <c r="L454" s="65"/>
      <c r="M454" s="65"/>
      <c r="N454" s="65"/>
    </row>
    <row r="455" spans="2:14" ht="23.45" customHeight="1">
      <c r="B455" s="65"/>
      <c r="C455" s="66"/>
      <c r="D455" s="65"/>
      <c r="E455" s="65"/>
      <c r="F455" s="65"/>
      <c r="G455" s="65"/>
      <c r="H455" s="65"/>
      <c r="I455" s="65"/>
      <c r="J455" s="65"/>
      <c r="K455" s="65"/>
      <c r="L455" s="65"/>
      <c r="M455" s="65"/>
      <c r="N455" s="65"/>
    </row>
    <row r="456" spans="2:14" ht="23.45" customHeight="1">
      <c r="B456" s="65"/>
      <c r="C456" s="66"/>
      <c r="D456" s="65"/>
      <c r="E456" s="65"/>
      <c r="F456" s="65"/>
      <c r="G456" s="65"/>
      <c r="H456" s="65"/>
      <c r="I456" s="65"/>
      <c r="J456" s="65"/>
      <c r="K456" s="65"/>
      <c r="L456" s="65"/>
      <c r="M456" s="65"/>
      <c r="N456" s="65"/>
    </row>
    <row r="457" spans="2:14" ht="23.45" customHeight="1">
      <c r="B457" s="65"/>
      <c r="C457" s="66"/>
      <c r="D457" s="65"/>
      <c r="E457" s="65"/>
      <c r="F457" s="65"/>
      <c r="G457" s="65"/>
      <c r="H457" s="65"/>
      <c r="I457" s="65"/>
      <c r="J457" s="65"/>
      <c r="K457" s="65"/>
      <c r="L457" s="65"/>
      <c r="M457" s="65"/>
      <c r="N457" s="65"/>
    </row>
    <row r="458" spans="2:14" ht="23.45" customHeight="1">
      <c r="B458" s="65"/>
      <c r="C458" s="66"/>
      <c r="D458" s="65"/>
      <c r="E458" s="65"/>
      <c r="F458" s="65"/>
      <c r="G458" s="65"/>
      <c r="H458" s="65"/>
      <c r="I458" s="65"/>
      <c r="J458" s="65"/>
      <c r="K458" s="65"/>
      <c r="L458" s="65"/>
      <c r="M458" s="65"/>
      <c r="N458" s="65"/>
    </row>
    <row r="459" spans="2:14" ht="23.45" customHeight="1">
      <c r="B459" s="65"/>
      <c r="C459" s="66"/>
      <c r="D459" s="65"/>
      <c r="E459" s="65"/>
      <c r="F459" s="65"/>
      <c r="G459" s="65"/>
      <c r="H459" s="65"/>
      <c r="I459" s="65"/>
      <c r="J459" s="65"/>
      <c r="K459" s="65"/>
      <c r="L459" s="65"/>
      <c r="M459" s="65"/>
      <c r="N459" s="65"/>
    </row>
    <row r="460" spans="2:14" ht="23.45" customHeight="1">
      <c r="B460" s="65"/>
      <c r="C460" s="66"/>
      <c r="D460" s="65"/>
      <c r="E460" s="65"/>
      <c r="F460" s="65"/>
      <c r="G460" s="65"/>
      <c r="H460" s="65"/>
      <c r="I460" s="65"/>
      <c r="J460" s="65"/>
      <c r="K460" s="65"/>
      <c r="L460" s="65"/>
      <c r="M460" s="65"/>
      <c r="N460" s="65"/>
    </row>
    <row r="461" spans="2:14" ht="23.45" customHeight="1">
      <c r="B461" s="65"/>
      <c r="C461" s="66"/>
      <c r="D461" s="65"/>
      <c r="E461" s="65"/>
      <c r="F461" s="65"/>
      <c r="G461" s="65"/>
      <c r="H461" s="65"/>
      <c r="I461" s="65"/>
      <c r="J461" s="65"/>
      <c r="K461" s="65"/>
      <c r="L461" s="65"/>
      <c r="M461" s="65"/>
      <c r="N461" s="65"/>
    </row>
    <row r="462" spans="2:14" ht="23.45" customHeight="1">
      <c r="B462" s="65"/>
      <c r="C462" s="66"/>
      <c r="D462" s="65"/>
      <c r="E462" s="65"/>
      <c r="F462" s="65"/>
      <c r="G462" s="65"/>
      <c r="H462" s="65"/>
      <c r="I462" s="65"/>
      <c r="J462" s="65"/>
      <c r="K462" s="65"/>
      <c r="L462" s="65"/>
      <c r="M462" s="65"/>
      <c r="N462" s="65"/>
    </row>
    <row r="463" spans="2:14" ht="23.45" customHeight="1">
      <c r="B463" s="65"/>
      <c r="C463" s="66"/>
      <c r="D463" s="65"/>
      <c r="E463" s="65"/>
      <c r="F463" s="65"/>
      <c r="G463" s="65"/>
      <c r="H463" s="65"/>
      <c r="I463" s="65"/>
      <c r="J463" s="65"/>
      <c r="K463" s="65"/>
      <c r="L463" s="65"/>
      <c r="M463" s="65"/>
      <c r="N463" s="65"/>
    </row>
    <row r="464" spans="2:14" ht="23.45" customHeight="1">
      <c r="B464" s="65"/>
      <c r="C464" s="66"/>
      <c r="D464" s="65"/>
      <c r="E464" s="65"/>
      <c r="F464" s="65"/>
      <c r="G464" s="65"/>
      <c r="H464" s="65"/>
      <c r="I464" s="65"/>
      <c r="J464" s="65"/>
      <c r="K464" s="65"/>
      <c r="L464" s="65"/>
      <c r="M464" s="65"/>
      <c r="N464" s="65"/>
    </row>
    <row r="465" spans="2:14" ht="23.45" customHeight="1">
      <c r="B465" s="65"/>
      <c r="C465" s="66"/>
      <c r="D465" s="65"/>
      <c r="E465" s="65"/>
      <c r="F465" s="65"/>
      <c r="G465" s="65"/>
      <c r="H465" s="65"/>
      <c r="I465" s="65"/>
      <c r="J465" s="65"/>
      <c r="K465" s="65"/>
      <c r="L465" s="65"/>
      <c r="M465" s="65"/>
      <c r="N465" s="65"/>
    </row>
    <row r="466" spans="2:14" ht="23.45" customHeight="1">
      <c r="B466" s="65"/>
      <c r="C466" s="66"/>
      <c r="D466" s="65"/>
      <c r="E466" s="65"/>
      <c r="F466" s="65"/>
      <c r="G466" s="65"/>
      <c r="H466" s="65"/>
      <c r="I466" s="65"/>
      <c r="J466" s="65"/>
      <c r="K466" s="65"/>
      <c r="L466" s="65"/>
      <c r="M466" s="65"/>
      <c r="N466" s="65"/>
    </row>
    <row r="467" spans="2:14" ht="23.45" customHeight="1">
      <c r="B467" s="65"/>
      <c r="C467" s="66"/>
      <c r="D467" s="65"/>
      <c r="E467" s="65"/>
      <c r="F467" s="65"/>
      <c r="G467" s="65"/>
      <c r="H467" s="65"/>
      <c r="I467" s="65"/>
      <c r="J467" s="65"/>
      <c r="K467" s="65"/>
      <c r="L467" s="65"/>
      <c r="M467" s="65"/>
      <c r="N467" s="65"/>
    </row>
    <row r="468" spans="2:14" ht="23.45" customHeight="1">
      <c r="B468" s="65"/>
      <c r="C468" s="66"/>
      <c r="D468" s="65"/>
      <c r="E468" s="65"/>
      <c r="F468" s="65"/>
      <c r="G468" s="65"/>
      <c r="H468" s="65"/>
      <c r="I468" s="65"/>
      <c r="J468" s="65"/>
      <c r="K468" s="65"/>
      <c r="L468" s="65"/>
      <c r="M468" s="65"/>
      <c r="N468" s="65"/>
    </row>
    <row r="469" spans="2:14" ht="23.45" customHeight="1">
      <c r="B469" s="65"/>
      <c r="C469" s="66"/>
      <c r="D469" s="65"/>
      <c r="E469" s="65"/>
      <c r="F469" s="65"/>
      <c r="G469" s="65"/>
      <c r="H469" s="65"/>
      <c r="I469" s="65"/>
      <c r="J469" s="65"/>
      <c r="K469" s="65"/>
      <c r="L469" s="65"/>
      <c r="M469" s="65"/>
      <c r="N469" s="65"/>
    </row>
    <row r="470" spans="2:14" ht="23.45" customHeight="1">
      <c r="B470" s="65"/>
      <c r="C470" s="66"/>
      <c r="D470" s="65"/>
      <c r="E470" s="65"/>
      <c r="F470" s="65"/>
      <c r="G470" s="65"/>
      <c r="H470" s="65"/>
      <c r="I470" s="65"/>
      <c r="J470" s="65"/>
      <c r="K470" s="65"/>
      <c r="L470" s="65"/>
      <c r="M470" s="65"/>
      <c r="N470" s="65"/>
    </row>
    <row r="471" spans="2:14" ht="23.45" customHeight="1">
      <c r="B471" s="65"/>
      <c r="C471" s="66"/>
      <c r="D471" s="65"/>
      <c r="E471" s="65"/>
      <c r="F471" s="65"/>
      <c r="G471" s="65"/>
      <c r="H471" s="65"/>
      <c r="I471" s="65"/>
      <c r="J471" s="65"/>
      <c r="K471" s="65"/>
      <c r="L471" s="65"/>
      <c r="M471" s="65"/>
      <c r="N471" s="65"/>
    </row>
    <row r="472" spans="2:14" ht="23.45" customHeight="1">
      <c r="B472" s="65"/>
      <c r="C472" s="66"/>
      <c r="D472" s="65"/>
      <c r="E472" s="65"/>
      <c r="F472" s="65"/>
      <c r="G472" s="65"/>
      <c r="H472" s="65"/>
      <c r="I472" s="65"/>
      <c r="J472" s="65"/>
      <c r="K472" s="65"/>
      <c r="L472" s="65"/>
      <c r="M472" s="65"/>
      <c r="N472" s="65"/>
    </row>
    <row r="473" spans="2:14" ht="23.45" customHeight="1">
      <c r="B473" s="65"/>
      <c r="C473" s="66"/>
      <c r="D473" s="65"/>
      <c r="E473" s="65"/>
      <c r="F473" s="65"/>
      <c r="G473" s="65"/>
      <c r="H473" s="65"/>
      <c r="I473" s="65"/>
      <c r="J473" s="65"/>
      <c r="K473" s="65"/>
      <c r="L473" s="65"/>
      <c r="M473" s="65"/>
      <c r="N473" s="65"/>
    </row>
    <row r="474" spans="2:14" ht="23.45" customHeight="1">
      <c r="B474" s="65"/>
      <c r="C474" s="66"/>
      <c r="D474" s="65"/>
      <c r="E474" s="65"/>
      <c r="F474" s="65"/>
      <c r="G474" s="65"/>
      <c r="H474" s="65"/>
      <c r="I474" s="65"/>
      <c r="J474" s="65"/>
      <c r="K474" s="65"/>
      <c r="L474" s="65"/>
      <c r="M474" s="65"/>
      <c r="N474" s="65"/>
    </row>
    <row r="475" spans="2:14" ht="23.45" customHeight="1">
      <c r="B475" s="65"/>
      <c r="C475" s="66"/>
      <c r="D475" s="65"/>
      <c r="E475" s="65"/>
      <c r="F475" s="65"/>
      <c r="G475" s="65"/>
      <c r="H475" s="65"/>
      <c r="I475" s="65"/>
      <c r="J475" s="65"/>
      <c r="K475" s="65"/>
      <c r="L475" s="65"/>
      <c r="M475" s="65"/>
      <c r="N475" s="65"/>
    </row>
    <row r="476" spans="2:14" ht="23.45" customHeight="1">
      <c r="B476" s="65"/>
      <c r="C476" s="66"/>
      <c r="D476" s="65"/>
      <c r="E476" s="65"/>
      <c r="F476" s="65"/>
      <c r="G476" s="65"/>
      <c r="H476" s="65"/>
      <c r="I476" s="65"/>
      <c r="J476" s="65"/>
      <c r="K476" s="65"/>
      <c r="L476" s="65"/>
      <c r="M476" s="65"/>
      <c r="N476" s="65"/>
    </row>
    <row r="477" spans="2:14" ht="23.45" customHeight="1">
      <c r="B477" s="65"/>
      <c r="C477" s="66"/>
      <c r="D477" s="65"/>
      <c r="E477" s="65"/>
      <c r="F477" s="65"/>
      <c r="G477" s="65"/>
      <c r="H477" s="65"/>
      <c r="I477" s="65"/>
      <c r="J477" s="65"/>
      <c r="K477" s="65"/>
      <c r="L477" s="65"/>
      <c r="M477" s="65"/>
      <c r="N477" s="65"/>
    </row>
    <row r="478" spans="2:14" ht="23.45" customHeight="1">
      <c r="B478" s="65"/>
      <c r="C478" s="66"/>
      <c r="D478" s="65"/>
      <c r="E478" s="65"/>
      <c r="F478" s="65"/>
      <c r="G478" s="65"/>
      <c r="H478" s="65"/>
      <c r="I478" s="65"/>
      <c r="J478" s="65"/>
      <c r="K478" s="65"/>
      <c r="L478" s="65"/>
      <c r="M478" s="65"/>
      <c r="N478" s="65"/>
    </row>
    <row r="479" spans="2:14" ht="23.45" customHeight="1">
      <c r="B479" s="65"/>
      <c r="C479" s="66"/>
      <c r="D479" s="65"/>
      <c r="E479" s="65"/>
      <c r="F479" s="65"/>
      <c r="G479" s="65"/>
      <c r="H479" s="65"/>
      <c r="I479" s="65"/>
      <c r="J479" s="65"/>
      <c r="K479" s="65"/>
      <c r="L479" s="65"/>
      <c r="M479" s="65"/>
      <c r="N479" s="65"/>
    </row>
    <row r="480" spans="2:14" ht="23.45" customHeight="1">
      <c r="B480" s="65"/>
      <c r="C480" s="66"/>
      <c r="D480" s="65"/>
      <c r="E480" s="65"/>
      <c r="F480" s="65"/>
      <c r="G480" s="65"/>
      <c r="H480" s="65"/>
      <c r="I480" s="65"/>
      <c r="J480" s="65"/>
      <c r="K480" s="65"/>
      <c r="L480" s="65"/>
      <c r="M480" s="65"/>
      <c r="N480" s="65"/>
    </row>
    <row r="481" spans="2:14" ht="23.45" customHeight="1">
      <c r="B481" s="65"/>
      <c r="C481" s="66"/>
      <c r="D481" s="65"/>
      <c r="E481" s="65"/>
      <c r="F481" s="65"/>
      <c r="G481" s="65"/>
      <c r="H481" s="65"/>
      <c r="I481" s="65"/>
      <c r="J481" s="65"/>
      <c r="K481" s="65"/>
      <c r="L481" s="65"/>
      <c r="M481" s="65"/>
      <c r="N481" s="65"/>
    </row>
    <row r="482" spans="2:14" ht="23.45" customHeight="1">
      <c r="B482" s="65"/>
      <c r="C482" s="66"/>
      <c r="D482" s="65"/>
      <c r="E482" s="65"/>
      <c r="F482" s="65"/>
      <c r="G482" s="65"/>
      <c r="H482" s="65"/>
      <c r="I482" s="65"/>
      <c r="J482" s="65"/>
      <c r="K482" s="65"/>
      <c r="L482" s="65"/>
      <c r="M482" s="65"/>
      <c r="N482" s="65"/>
    </row>
    <row r="483" spans="2:14" ht="23.45" customHeight="1">
      <c r="B483" s="65"/>
      <c r="C483" s="66"/>
      <c r="D483" s="65"/>
      <c r="E483" s="65"/>
      <c r="F483" s="65"/>
      <c r="G483" s="65"/>
      <c r="H483" s="65"/>
      <c r="I483" s="65"/>
      <c r="J483" s="65"/>
      <c r="K483" s="65"/>
      <c r="L483" s="65"/>
      <c r="M483" s="65"/>
      <c r="N483" s="65"/>
    </row>
    <row r="484" spans="2:14" ht="23.45" customHeight="1">
      <c r="B484" s="65"/>
      <c r="C484" s="66"/>
      <c r="D484" s="65"/>
      <c r="E484" s="65"/>
      <c r="F484" s="65"/>
      <c r="G484" s="65"/>
      <c r="H484" s="65"/>
      <c r="I484" s="65"/>
      <c r="J484" s="65"/>
      <c r="K484" s="65"/>
      <c r="L484" s="65"/>
      <c r="M484" s="65"/>
      <c r="N484" s="65"/>
    </row>
    <row r="485" spans="2:14" ht="23.45" customHeight="1">
      <c r="B485" s="65"/>
      <c r="C485" s="66"/>
      <c r="D485" s="65"/>
      <c r="E485" s="65"/>
      <c r="F485" s="65"/>
      <c r="G485" s="65"/>
      <c r="H485" s="65"/>
      <c r="I485" s="65"/>
      <c r="J485" s="65"/>
      <c r="K485" s="65"/>
      <c r="L485" s="65"/>
      <c r="M485" s="65"/>
      <c r="N485" s="65"/>
    </row>
    <row r="486" spans="2:14" ht="23.45" customHeight="1">
      <c r="B486" s="65"/>
      <c r="C486" s="66"/>
      <c r="D486" s="65"/>
      <c r="E486" s="65"/>
      <c r="F486" s="65"/>
      <c r="G486" s="65"/>
      <c r="H486" s="65"/>
      <c r="I486" s="65"/>
      <c r="J486" s="65"/>
      <c r="K486" s="65"/>
      <c r="L486" s="65"/>
      <c r="M486" s="65"/>
      <c r="N486" s="65"/>
    </row>
    <row r="487" spans="2:14" ht="23.45" customHeight="1">
      <c r="B487" s="65"/>
      <c r="C487" s="66"/>
      <c r="D487" s="65"/>
      <c r="E487" s="65"/>
      <c r="F487" s="65"/>
      <c r="G487" s="65"/>
      <c r="H487" s="65"/>
      <c r="I487" s="65"/>
      <c r="J487" s="65"/>
      <c r="K487" s="65"/>
      <c r="L487" s="65"/>
      <c r="M487" s="65"/>
      <c r="N487" s="65"/>
    </row>
    <row r="488" spans="2:14" ht="23.45" customHeight="1">
      <c r="B488" s="65"/>
      <c r="C488" s="66"/>
      <c r="D488" s="65"/>
      <c r="E488" s="65"/>
      <c r="F488" s="65"/>
      <c r="G488" s="65"/>
      <c r="H488" s="65"/>
      <c r="I488" s="65"/>
      <c r="J488" s="65"/>
      <c r="K488" s="65"/>
      <c r="L488" s="65"/>
      <c r="M488" s="65"/>
      <c r="N488" s="65"/>
    </row>
    <row r="489" spans="2:14" ht="23.45" customHeight="1">
      <c r="B489" s="65"/>
      <c r="C489" s="66"/>
      <c r="D489" s="65"/>
      <c r="E489" s="65"/>
      <c r="F489" s="65"/>
      <c r="G489" s="65"/>
      <c r="H489" s="65"/>
      <c r="I489" s="65"/>
      <c r="J489" s="65"/>
      <c r="K489" s="65"/>
      <c r="L489" s="65"/>
      <c r="M489" s="65"/>
      <c r="N489" s="65"/>
    </row>
    <row r="490" spans="2:14" ht="23.45" customHeight="1">
      <c r="B490" s="65"/>
      <c r="C490" s="66"/>
      <c r="D490" s="65"/>
      <c r="E490" s="65"/>
      <c r="F490" s="65"/>
      <c r="G490" s="65"/>
      <c r="H490" s="65"/>
      <c r="I490" s="65"/>
      <c r="J490" s="65"/>
      <c r="K490" s="65"/>
      <c r="L490" s="65"/>
      <c r="M490" s="65"/>
      <c r="N490" s="65"/>
    </row>
    <row r="491" spans="2:14" ht="23.45" customHeight="1">
      <c r="B491" s="65"/>
      <c r="C491" s="66"/>
      <c r="D491" s="65"/>
      <c r="E491" s="65"/>
      <c r="F491" s="65"/>
      <c r="G491" s="65"/>
      <c r="H491" s="65"/>
      <c r="I491" s="65"/>
      <c r="J491" s="65"/>
      <c r="K491" s="65"/>
      <c r="L491" s="65"/>
      <c r="M491" s="65"/>
      <c r="N491" s="65"/>
    </row>
    <row r="492" spans="2:14" ht="23.45" customHeight="1">
      <c r="B492" s="65"/>
      <c r="C492" s="66"/>
      <c r="D492" s="65"/>
      <c r="E492" s="65"/>
      <c r="F492" s="65"/>
      <c r="G492" s="65"/>
      <c r="H492" s="65"/>
      <c r="I492" s="65"/>
      <c r="J492" s="65"/>
      <c r="K492" s="65"/>
      <c r="L492" s="65"/>
      <c r="M492" s="65"/>
      <c r="N492" s="65"/>
    </row>
    <row r="493" spans="2:14" ht="23.45" customHeight="1">
      <c r="B493" s="65"/>
      <c r="C493" s="66"/>
      <c r="D493" s="65"/>
      <c r="E493" s="65"/>
      <c r="F493" s="65"/>
      <c r="G493" s="65"/>
      <c r="H493" s="65"/>
      <c r="I493" s="65"/>
      <c r="J493" s="65"/>
      <c r="K493" s="65"/>
      <c r="L493" s="65"/>
      <c r="M493" s="65"/>
      <c r="N493" s="65"/>
    </row>
    <row r="494" spans="2:14" ht="23.45" customHeight="1">
      <c r="B494" s="65"/>
      <c r="C494" s="66"/>
      <c r="D494" s="65"/>
      <c r="E494" s="65"/>
      <c r="F494" s="65"/>
      <c r="G494" s="65"/>
      <c r="H494" s="65"/>
      <c r="I494" s="65"/>
      <c r="J494" s="65"/>
      <c r="K494" s="65"/>
      <c r="L494" s="65"/>
      <c r="M494" s="65"/>
      <c r="N494" s="65"/>
    </row>
    <row r="495" spans="2:14" ht="23.45" customHeight="1">
      <c r="B495" s="65"/>
      <c r="C495" s="66"/>
      <c r="D495" s="65"/>
      <c r="E495" s="65"/>
      <c r="F495" s="65"/>
      <c r="G495" s="65"/>
      <c r="H495" s="65"/>
      <c r="I495" s="65"/>
      <c r="J495" s="65"/>
      <c r="K495" s="65"/>
      <c r="L495" s="65"/>
      <c r="M495" s="65"/>
      <c r="N495" s="65"/>
    </row>
    <row r="496" spans="2:14" ht="23.45" customHeight="1">
      <c r="B496" s="65"/>
      <c r="C496" s="66"/>
      <c r="D496" s="65"/>
      <c r="E496" s="65"/>
      <c r="F496" s="65"/>
      <c r="G496" s="65"/>
      <c r="H496" s="65"/>
      <c r="I496" s="65"/>
      <c r="J496" s="65"/>
      <c r="K496" s="65"/>
      <c r="L496" s="65"/>
      <c r="M496" s="65"/>
      <c r="N496" s="65"/>
    </row>
    <row r="497" spans="2:14" ht="23.45" customHeight="1">
      <c r="B497" s="65"/>
      <c r="C497" s="66"/>
      <c r="D497" s="65"/>
      <c r="E497" s="65"/>
      <c r="F497" s="65"/>
      <c r="G497" s="65"/>
      <c r="H497" s="65"/>
      <c r="I497" s="65"/>
      <c r="J497" s="65"/>
      <c r="K497" s="65"/>
      <c r="L497" s="65"/>
      <c r="M497" s="65"/>
      <c r="N497" s="65"/>
    </row>
    <row r="498" spans="2:14" ht="23.45" customHeight="1">
      <c r="B498" s="65"/>
      <c r="C498" s="66"/>
      <c r="D498" s="65"/>
      <c r="E498" s="65"/>
      <c r="F498" s="65"/>
      <c r="G498" s="65"/>
      <c r="H498" s="65"/>
      <c r="I498" s="65"/>
      <c r="J498" s="65"/>
      <c r="K498" s="65"/>
      <c r="L498" s="65"/>
      <c r="M498" s="65"/>
      <c r="N498" s="65"/>
    </row>
    <row r="499" spans="2:14" ht="23.45" customHeight="1">
      <c r="B499" s="65"/>
      <c r="C499" s="66"/>
      <c r="D499" s="65"/>
      <c r="E499" s="65"/>
      <c r="F499" s="65"/>
      <c r="G499" s="65"/>
      <c r="H499" s="65"/>
      <c r="I499" s="65"/>
      <c r="J499" s="65"/>
      <c r="K499" s="65"/>
      <c r="L499" s="65"/>
      <c r="M499" s="65"/>
      <c r="N499" s="65"/>
    </row>
    <row r="500" spans="2:14" ht="23.45" customHeight="1">
      <c r="B500" s="65"/>
      <c r="C500" s="66"/>
      <c r="D500" s="65"/>
      <c r="E500" s="65"/>
      <c r="F500" s="65"/>
      <c r="G500" s="65"/>
      <c r="H500" s="65"/>
      <c r="I500" s="65"/>
      <c r="J500" s="65"/>
      <c r="K500" s="65"/>
      <c r="L500" s="65"/>
      <c r="M500" s="65"/>
      <c r="N500" s="65"/>
    </row>
    <row r="501" spans="2:14" ht="23.45" customHeight="1">
      <c r="B501" s="65"/>
      <c r="C501" s="66"/>
      <c r="D501" s="65"/>
      <c r="E501" s="65"/>
      <c r="F501" s="65"/>
      <c r="G501" s="65"/>
      <c r="H501" s="65"/>
      <c r="I501" s="65"/>
      <c r="J501" s="65"/>
      <c r="K501" s="65"/>
      <c r="L501" s="65"/>
      <c r="M501" s="65"/>
      <c r="N501" s="65"/>
    </row>
    <row r="502" spans="2:14" ht="23.45" customHeight="1">
      <c r="B502" s="65"/>
      <c r="C502" s="66"/>
      <c r="D502" s="65"/>
      <c r="E502" s="65"/>
      <c r="F502" s="65"/>
      <c r="G502" s="65"/>
      <c r="H502" s="65"/>
      <c r="I502" s="65"/>
      <c r="J502" s="65"/>
      <c r="K502" s="65"/>
      <c r="L502" s="65"/>
      <c r="M502" s="65"/>
      <c r="N502" s="65"/>
    </row>
    <row r="503" spans="2:14" ht="23.45" customHeight="1">
      <c r="B503" s="65"/>
      <c r="C503" s="66"/>
      <c r="D503" s="65"/>
      <c r="E503" s="65"/>
      <c r="F503" s="65"/>
      <c r="G503" s="65"/>
      <c r="H503" s="65"/>
      <c r="I503" s="65"/>
      <c r="J503" s="65"/>
      <c r="K503" s="65"/>
      <c r="L503" s="65"/>
      <c r="M503" s="65"/>
      <c r="N503" s="65"/>
    </row>
    <row r="504" spans="2:14" ht="23.45" customHeight="1">
      <c r="B504" s="65"/>
      <c r="C504" s="66"/>
      <c r="D504" s="65"/>
      <c r="E504" s="65"/>
      <c r="F504" s="65"/>
      <c r="G504" s="65"/>
      <c r="H504" s="65"/>
      <c r="I504" s="65"/>
      <c r="J504" s="65"/>
      <c r="K504" s="65"/>
      <c r="L504" s="65"/>
      <c r="M504" s="65"/>
      <c r="N504" s="65"/>
    </row>
    <row r="505" spans="2:14" ht="23.45" customHeight="1">
      <c r="B505" s="65"/>
      <c r="C505" s="66"/>
      <c r="D505" s="65"/>
      <c r="E505" s="65"/>
      <c r="F505" s="65"/>
      <c r="G505" s="65"/>
      <c r="H505" s="65"/>
      <c r="I505" s="65"/>
      <c r="J505" s="65"/>
      <c r="K505" s="65"/>
      <c r="L505" s="65"/>
      <c r="M505" s="65"/>
      <c r="N505" s="65"/>
    </row>
    <row r="506" spans="2:14" ht="23.45" customHeight="1">
      <c r="B506" s="65"/>
      <c r="C506" s="66"/>
      <c r="D506" s="65"/>
      <c r="E506" s="65"/>
      <c r="F506" s="65"/>
      <c r="G506" s="65"/>
      <c r="H506" s="65"/>
      <c r="I506" s="65"/>
      <c r="J506" s="65"/>
      <c r="K506" s="65"/>
      <c r="L506" s="65"/>
      <c r="M506" s="65"/>
      <c r="N506" s="65"/>
    </row>
    <row r="507" spans="2:14" ht="23.45" customHeight="1">
      <c r="B507" s="65"/>
      <c r="C507" s="66"/>
      <c r="D507" s="65"/>
      <c r="E507" s="65"/>
      <c r="F507" s="65"/>
      <c r="G507" s="65"/>
      <c r="H507" s="65"/>
      <c r="I507" s="65"/>
      <c r="J507" s="65"/>
      <c r="K507" s="65"/>
      <c r="L507" s="65"/>
      <c r="M507" s="65"/>
      <c r="N507" s="65"/>
    </row>
    <row r="508" spans="2:14" ht="23.45" customHeight="1">
      <c r="B508" s="65"/>
      <c r="C508" s="66"/>
      <c r="D508" s="65"/>
      <c r="E508" s="65"/>
      <c r="F508" s="65"/>
      <c r="G508" s="65"/>
      <c r="H508" s="65"/>
      <c r="I508" s="65"/>
      <c r="J508" s="65"/>
      <c r="K508" s="65"/>
      <c r="L508" s="65"/>
      <c r="M508" s="65"/>
      <c r="N508" s="65"/>
    </row>
    <row r="509" spans="2:14" ht="23.45" customHeight="1">
      <c r="B509" s="65"/>
      <c r="C509" s="66"/>
      <c r="D509" s="65"/>
      <c r="E509" s="65"/>
      <c r="F509" s="65"/>
      <c r="G509" s="65"/>
      <c r="H509" s="65"/>
      <c r="I509" s="65"/>
      <c r="J509" s="65"/>
      <c r="K509" s="65"/>
      <c r="L509" s="65"/>
      <c r="M509" s="65"/>
      <c r="N509" s="65"/>
    </row>
    <row r="510" spans="2:14" ht="23.45" customHeight="1">
      <c r="B510" s="65"/>
      <c r="C510" s="66"/>
      <c r="D510" s="65"/>
      <c r="E510" s="65"/>
      <c r="F510" s="65"/>
      <c r="G510" s="65"/>
      <c r="H510" s="65"/>
      <c r="I510" s="65"/>
      <c r="J510" s="65"/>
      <c r="K510" s="65"/>
      <c r="L510" s="65"/>
      <c r="M510" s="65"/>
      <c r="N510" s="65"/>
    </row>
    <row r="511" spans="2:14" ht="23.45" customHeight="1">
      <c r="B511" s="65"/>
      <c r="C511" s="66"/>
      <c r="D511" s="65"/>
      <c r="E511" s="65"/>
      <c r="F511" s="65"/>
      <c r="G511" s="65"/>
      <c r="H511" s="65"/>
      <c r="I511" s="65"/>
      <c r="J511" s="65"/>
      <c r="K511" s="65"/>
      <c r="L511" s="65"/>
      <c r="M511" s="65"/>
      <c r="N511" s="65"/>
    </row>
    <row r="512" spans="2:14" ht="23.45" customHeight="1">
      <c r="B512" s="65"/>
      <c r="C512" s="66"/>
      <c r="D512" s="65"/>
      <c r="E512" s="65"/>
      <c r="F512" s="65"/>
      <c r="G512" s="65"/>
      <c r="H512" s="65"/>
      <c r="I512" s="65"/>
      <c r="J512" s="65"/>
      <c r="K512" s="65"/>
      <c r="L512" s="65"/>
      <c r="M512" s="65"/>
      <c r="N512" s="65"/>
    </row>
    <row r="513" spans="2:14" ht="23.45" customHeight="1">
      <c r="B513" s="65"/>
      <c r="C513" s="66"/>
      <c r="D513" s="65"/>
      <c r="E513" s="65"/>
      <c r="F513" s="65"/>
      <c r="G513" s="65"/>
      <c r="H513" s="65"/>
      <c r="I513" s="65"/>
      <c r="J513" s="65"/>
      <c r="K513" s="65"/>
      <c r="L513" s="65"/>
      <c r="M513" s="65"/>
      <c r="N513" s="65"/>
    </row>
    <row r="514" spans="2:14" ht="23.45" customHeight="1">
      <c r="B514" s="65"/>
      <c r="C514" s="66"/>
      <c r="D514" s="65"/>
      <c r="E514" s="65"/>
      <c r="F514" s="65"/>
      <c r="G514" s="65"/>
      <c r="H514" s="65"/>
      <c r="I514" s="65"/>
      <c r="J514" s="65"/>
      <c r="K514" s="65"/>
      <c r="L514" s="65"/>
      <c r="M514" s="65"/>
      <c r="N514" s="65"/>
    </row>
    <row r="515" spans="2:14" ht="23.45" customHeight="1">
      <c r="B515" s="65"/>
      <c r="C515" s="66"/>
      <c r="D515" s="65"/>
      <c r="E515" s="65"/>
      <c r="F515" s="65"/>
      <c r="G515" s="65"/>
      <c r="H515" s="65"/>
      <c r="I515" s="65"/>
      <c r="J515" s="65"/>
      <c r="K515" s="65"/>
      <c r="L515" s="65"/>
      <c r="M515" s="65"/>
      <c r="N515" s="65"/>
    </row>
    <row r="516" spans="2:14" ht="23.45" customHeight="1">
      <c r="B516" s="65"/>
      <c r="C516" s="66"/>
      <c r="D516" s="65"/>
      <c r="E516" s="65"/>
      <c r="F516" s="65"/>
      <c r="G516" s="65"/>
      <c r="H516" s="65"/>
      <c r="I516" s="65"/>
      <c r="J516" s="65"/>
      <c r="K516" s="65"/>
      <c r="L516" s="65"/>
      <c r="M516" s="65"/>
      <c r="N516" s="65"/>
    </row>
    <row r="517" spans="2:14" ht="23.45" customHeight="1">
      <c r="B517" s="65"/>
      <c r="C517" s="66"/>
      <c r="D517" s="65"/>
      <c r="E517" s="65"/>
      <c r="F517" s="65"/>
      <c r="G517" s="65"/>
      <c r="H517" s="65"/>
      <c r="I517" s="65"/>
      <c r="J517" s="65"/>
      <c r="K517" s="65"/>
      <c r="L517" s="65"/>
      <c r="M517" s="65"/>
      <c r="N517" s="65"/>
    </row>
    <row r="518" spans="2:14" ht="23.45" customHeight="1">
      <c r="B518" s="65"/>
      <c r="C518" s="66"/>
      <c r="D518" s="65"/>
      <c r="E518" s="65"/>
      <c r="F518" s="65"/>
      <c r="G518" s="65"/>
      <c r="H518" s="65"/>
      <c r="I518" s="65"/>
      <c r="J518" s="65"/>
      <c r="K518" s="65"/>
      <c r="L518" s="65"/>
      <c r="M518" s="65"/>
      <c r="N518" s="65"/>
    </row>
    <row r="519" spans="2:14" ht="23.45" customHeight="1">
      <c r="B519" s="65"/>
      <c r="C519" s="66"/>
      <c r="D519" s="65"/>
      <c r="E519" s="65"/>
      <c r="F519" s="65"/>
      <c r="G519" s="65"/>
      <c r="H519" s="65"/>
      <c r="I519" s="65"/>
      <c r="J519" s="65"/>
      <c r="K519" s="65"/>
      <c r="L519" s="65"/>
      <c r="M519" s="65"/>
      <c r="N519" s="65"/>
    </row>
    <row r="520" spans="2:14" ht="23.45" customHeight="1">
      <c r="B520" s="65"/>
      <c r="C520" s="66"/>
      <c r="D520" s="65"/>
      <c r="E520" s="65"/>
      <c r="F520" s="65"/>
      <c r="G520" s="65"/>
      <c r="H520" s="65"/>
      <c r="I520" s="65"/>
      <c r="J520" s="65"/>
      <c r="K520" s="65"/>
      <c r="L520" s="65"/>
      <c r="M520" s="65"/>
      <c r="N520" s="65"/>
    </row>
    <row r="521" spans="2:14" ht="23.45" customHeight="1">
      <c r="B521" s="65"/>
      <c r="C521" s="66"/>
      <c r="D521" s="65"/>
      <c r="E521" s="65"/>
      <c r="F521" s="65"/>
      <c r="G521" s="65"/>
      <c r="H521" s="65"/>
      <c r="I521" s="65"/>
      <c r="J521" s="65"/>
      <c r="K521" s="65"/>
      <c r="L521" s="65"/>
      <c r="M521" s="65"/>
      <c r="N521" s="65"/>
    </row>
    <row r="522" spans="2:14" ht="23.45" customHeight="1">
      <c r="B522" s="65"/>
      <c r="C522" s="66"/>
      <c r="D522" s="65"/>
      <c r="E522" s="65"/>
      <c r="F522" s="65"/>
      <c r="G522" s="65"/>
      <c r="H522" s="65"/>
      <c r="I522" s="65"/>
      <c r="J522" s="65"/>
      <c r="K522" s="65"/>
      <c r="L522" s="65"/>
      <c r="M522" s="65"/>
      <c r="N522" s="65"/>
    </row>
    <row r="523" spans="2:14" ht="23.45" customHeight="1">
      <c r="B523" s="65"/>
      <c r="C523" s="66"/>
      <c r="D523" s="65"/>
      <c r="E523" s="65"/>
      <c r="F523" s="65"/>
      <c r="G523" s="65"/>
      <c r="H523" s="65"/>
      <c r="I523" s="65"/>
      <c r="J523" s="65"/>
      <c r="K523" s="65"/>
      <c r="L523" s="65"/>
      <c r="M523" s="65"/>
      <c r="N523" s="65"/>
    </row>
    <row r="524" spans="2:14" ht="23.45" customHeight="1">
      <c r="B524" s="65"/>
      <c r="C524" s="66"/>
      <c r="D524" s="65"/>
      <c r="E524" s="65"/>
      <c r="F524" s="65"/>
      <c r="G524" s="65"/>
      <c r="H524" s="65"/>
      <c r="I524" s="65"/>
      <c r="J524" s="65"/>
      <c r="K524" s="65"/>
      <c r="L524" s="65"/>
      <c r="M524" s="65"/>
      <c r="N524" s="65"/>
    </row>
    <row r="525" spans="2:14" ht="23.45" customHeight="1">
      <c r="B525" s="65"/>
      <c r="C525" s="66"/>
      <c r="D525" s="65"/>
      <c r="E525" s="65"/>
      <c r="F525" s="65"/>
      <c r="G525" s="65"/>
      <c r="H525" s="65"/>
      <c r="I525" s="65"/>
      <c r="J525" s="65"/>
      <c r="K525" s="65"/>
      <c r="L525" s="65"/>
      <c r="M525" s="65"/>
      <c r="N525" s="65"/>
    </row>
    <row r="526" spans="2:14" ht="23.45" customHeight="1">
      <c r="B526" s="65"/>
      <c r="C526" s="66"/>
      <c r="D526" s="65"/>
      <c r="E526" s="65"/>
      <c r="F526" s="65"/>
      <c r="G526" s="65"/>
      <c r="H526" s="65"/>
      <c r="I526" s="65"/>
      <c r="J526" s="65"/>
      <c r="K526" s="65"/>
      <c r="L526" s="65"/>
      <c r="M526" s="65"/>
      <c r="N526" s="65"/>
    </row>
    <row r="527" spans="2:14" ht="23.45" customHeight="1">
      <c r="B527" s="65"/>
      <c r="C527" s="66"/>
      <c r="D527" s="65"/>
      <c r="E527" s="65"/>
      <c r="F527" s="65"/>
      <c r="G527" s="65"/>
      <c r="H527" s="65"/>
      <c r="I527" s="65"/>
      <c r="J527" s="65"/>
      <c r="K527" s="65"/>
      <c r="L527" s="65"/>
      <c r="M527" s="65"/>
      <c r="N527" s="65"/>
    </row>
    <row r="528" spans="2:14" ht="23.45" customHeight="1">
      <c r="B528" s="65"/>
      <c r="C528" s="66"/>
      <c r="D528" s="65"/>
      <c r="E528" s="65"/>
      <c r="F528" s="65"/>
      <c r="G528" s="65"/>
      <c r="H528" s="65"/>
      <c r="I528" s="65"/>
      <c r="J528" s="65"/>
      <c r="K528" s="65"/>
      <c r="L528" s="65"/>
      <c r="M528" s="65"/>
      <c r="N528" s="65"/>
    </row>
    <row r="529" spans="2:14" ht="23.45" customHeight="1">
      <c r="B529" s="65"/>
      <c r="C529" s="66"/>
      <c r="D529" s="65"/>
      <c r="E529" s="65"/>
      <c r="F529" s="65"/>
      <c r="G529" s="65"/>
      <c r="H529" s="65"/>
      <c r="I529" s="65"/>
      <c r="J529" s="65"/>
      <c r="K529" s="65"/>
      <c r="L529" s="65"/>
      <c r="M529" s="65"/>
      <c r="N529" s="65"/>
    </row>
    <row r="530" spans="2:14" ht="23.45" customHeight="1">
      <c r="B530" s="65"/>
      <c r="C530" s="66"/>
      <c r="D530" s="65"/>
      <c r="E530" s="65"/>
      <c r="F530" s="65"/>
      <c r="G530" s="65"/>
      <c r="H530" s="65"/>
      <c r="I530" s="65"/>
      <c r="J530" s="65"/>
      <c r="K530" s="65"/>
      <c r="L530" s="65"/>
      <c r="M530" s="65"/>
      <c r="N530" s="65"/>
    </row>
    <row r="531" spans="2:14" ht="23.45" customHeight="1">
      <c r="B531" s="65"/>
      <c r="C531" s="66"/>
      <c r="D531" s="65"/>
      <c r="E531" s="65"/>
      <c r="F531" s="65"/>
      <c r="G531" s="65"/>
      <c r="H531" s="65"/>
      <c r="I531" s="65"/>
      <c r="J531" s="65"/>
      <c r="K531" s="65"/>
      <c r="L531" s="65"/>
      <c r="M531" s="65"/>
      <c r="N531" s="65"/>
    </row>
    <row r="532" spans="2:14" ht="23.45" customHeight="1">
      <c r="B532" s="65"/>
      <c r="C532" s="66"/>
      <c r="D532" s="65"/>
      <c r="E532" s="65"/>
      <c r="F532" s="65"/>
      <c r="G532" s="65"/>
      <c r="H532" s="65"/>
      <c r="I532" s="65"/>
      <c r="J532" s="65"/>
      <c r="K532" s="65"/>
      <c r="L532" s="65"/>
      <c r="M532" s="65"/>
      <c r="N532" s="65"/>
    </row>
    <row r="533" spans="2:14" ht="23.45" customHeight="1">
      <c r="B533" s="65"/>
      <c r="C533" s="66"/>
      <c r="D533" s="65"/>
      <c r="E533" s="65"/>
      <c r="F533" s="65"/>
      <c r="G533" s="65"/>
      <c r="H533" s="65"/>
      <c r="I533" s="65"/>
      <c r="J533" s="65"/>
      <c r="K533" s="65"/>
      <c r="L533" s="65"/>
      <c r="M533" s="65"/>
      <c r="N533" s="65"/>
    </row>
    <row r="534" spans="2:14" ht="23.45" customHeight="1">
      <c r="B534" s="65"/>
      <c r="C534" s="66"/>
      <c r="D534" s="65"/>
      <c r="E534" s="65"/>
      <c r="F534" s="65"/>
      <c r="G534" s="65"/>
      <c r="H534" s="65"/>
      <c r="I534" s="65"/>
      <c r="J534" s="65"/>
      <c r="K534" s="65"/>
      <c r="L534" s="65"/>
      <c r="M534" s="65"/>
      <c r="N534" s="65"/>
    </row>
    <row r="535" spans="2:14" ht="23.45" customHeight="1">
      <c r="B535" s="65"/>
      <c r="C535" s="66"/>
      <c r="D535" s="65"/>
      <c r="E535" s="65"/>
      <c r="F535" s="65"/>
      <c r="G535" s="65"/>
      <c r="H535" s="65"/>
      <c r="I535" s="65"/>
      <c r="J535" s="65"/>
      <c r="K535" s="65"/>
      <c r="L535" s="65"/>
      <c r="M535" s="65"/>
      <c r="N535" s="65"/>
    </row>
    <row r="536" spans="2:14" ht="23.45" customHeight="1">
      <c r="B536" s="65"/>
      <c r="C536" s="66"/>
      <c r="D536" s="65"/>
      <c r="E536" s="65"/>
      <c r="F536" s="65"/>
      <c r="G536" s="65"/>
      <c r="H536" s="65"/>
      <c r="I536" s="65"/>
      <c r="J536" s="65"/>
      <c r="K536" s="65"/>
      <c r="L536" s="65"/>
      <c r="M536" s="65"/>
      <c r="N536" s="65"/>
    </row>
    <row r="537" spans="2:14" ht="23.45" customHeight="1">
      <c r="B537" s="65"/>
      <c r="C537" s="66"/>
      <c r="D537" s="65"/>
      <c r="E537" s="65"/>
      <c r="F537" s="65"/>
      <c r="G537" s="65"/>
      <c r="H537" s="65"/>
      <c r="I537" s="65"/>
      <c r="J537" s="65"/>
      <c r="K537" s="65"/>
      <c r="L537" s="65"/>
      <c r="M537" s="65"/>
      <c r="N537" s="65"/>
    </row>
    <row r="538" spans="2:14" ht="23.45" customHeight="1">
      <c r="B538" s="65"/>
      <c r="C538" s="66"/>
      <c r="D538" s="65"/>
      <c r="E538" s="65"/>
      <c r="F538" s="65"/>
      <c r="G538" s="65"/>
      <c r="H538" s="65"/>
      <c r="I538" s="65"/>
      <c r="J538" s="65"/>
      <c r="K538" s="65"/>
      <c r="L538" s="65"/>
      <c r="M538" s="65"/>
      <c r="N538" s="65"/>
    </row>
    <row r="539" spans="2:14" ht="23.45" customHeight="1">
      <c r="B539" s="65"/>
      <c r="C539" s="66"/>
      <c r="D539" s="65"/>
      <c r="E539" s="65"/>
      <c r="F539" s="65"/>
      <c r="G539" s="65"/>
      <c r="H539" s="65"/>
      <c r="I539" s="65"/>
      <c r="J539" s="65"/>
      <c r="K539" s="65"/>
      <c r="L539" s="65"/>
      <c r="M539" s="65"/>
      <c r="N539" s="65"/>
    </row>
    <row r="540" spans="2:14" ht="23.45" customHeight="1">
      <c r="B540" s="65"/>
      <c r="C540" s="66"/>
      <c r="D540" s="65"/>
      <c r="E540" s="65"/>
      <c r="F540" s="65"/>
      <c r="G540" s="65"/>
      <c r="H540" s="65"/>
      <c r="I540" s="65"/>
      <c r="J540" s="65"/>
      <c r="K540" s="65"/>
      <c r="L540" s="65"/>
      <c r="M540" s="65"/>
      <c r="N540" s="65"/>
    </row>
    <row r="541" spans="2:14" ht="23.45" customHeight="1">
      <c r="B541" s="65"/>
      <c r="C541" s="66"/>
      <c r="D541" s="65"/>
      <c r="E541" s="65"/>
      <c r="F541" s="65"/>
      <c r="G541" s="65"/>
      <c r="H541" s="65"/>
      <c r="I541" s="65"/>
      <c r="J541" s="65"/>
      <c r="K541" s="65"/>
      <c r="L541" s="65"/>
      <c r="M541" s="65"/>
      <c r="N541" s="65"/>
    </row>
    <row r="542" spans="2:14" ht="23.45" customHeight="1">
      <c r="B542" s="65"/>
      <c r="C542" s="66"/>
      <c r="D542" s="65"/>
      <c r="E542" s="65"/>
      <c r="F542" s="65"/>
      <c r="G542" s="65"/>
      <c r="H542" s="65"/>
      <c r="I542" s="65"/>
      <c r="J542" s="65"/>
      <c r="K542" s="65"/>
      <c r="L542" s="65"/>
      <c r="M542" s="65"/>
      <c r="N542" s="65"/>
    </row>
    <row r="543" spans="2:14" ht="23.45" customHeight="1">
      <c r="B543" s="65"/>
      <c r="C543" s="66"/>
      <c r="D543" s="65"/>
      <c r="E543" s="65"/>
      <c r="F543" s="65"/>
      <c r="G543" s="65"/>
      <c r="H543" s="65"/>
      <c r="I543" s="65"/>
      <c r="J543" s="65"/>
      <c r="K543" s="65"/>
      <c r="L543" s="65"/>
      <c r="M543" s="65"/>
      <c r="N543" s="65"/>
    </row>
    <row r="544" spans="2:14" ht="23.45" customHeight="1">
      <c r="B544" s="65"/>
      <c r="C544" s="66"/>
      <c r="D544" s="65"/>
      <c r="E544" s="65"/>
      <c r="F544" s="65"/>
      <c r="G544" s="65"/>
      <c r="H544" s="65"/>
      <c r="I544" s="65"/>
      <c r="J544" s="65"/>
      <c r="K544" s="65"/>
      <c r="L544" s="65"/>
      <c r="M544" s="65"/>
      <c r="N544" s="65"/>
    </row>
    <row r="545" spans="2:14" ht="23.45" customHeight="1">
      <c r="B545" s="65"/>
      <c r="C545" s="66"/>
      <c r="D545" s="65"/>
      <c r="E545" s="65"/>
      <c r="F545" s="65"/>
      <c r="G545" s="65"/>
      <c r="H545" s="65"/>
      <c r="I545" s="65"/>
      <c r="J545" s="65"/>
      <c r="K545" s="65"/>
      <c r="L545" s="65"/>
      <c r="M545" s="65"/>
      <c r="N545" s="65"/>
    </row>
    <row r="546" spans="2:14" ht="23.45" customHeight="1">
      <c r="B546" s="65"/>
      <c r="C546" s="66"/>
      <c r="D546" s="65"/>
      <c r="E546" s="65"/>
      <c r="F546" s="65"/>
      <c r="G546" s="65"/>
      <c r="H546" s="65"/>
      <c r="I546" s="65"/>
      <c r="J546" s="65"/>
      <c r="K546" s="65"/>
      <c r="L546" s="65"/>
      <c r="M546" s="65"/>
      <c r="N546" s="65"/>
    </row>
    <row r="547" spans="2:14" ht="23.45" customHeight="1">
      <c r="B547" s="65"/>
      <c r="C547" s="66"/>
      <c r="D547" s="65"/>
      <c r="E547" s="65"/>
      <c r="F547" s="65"/>
      <c r="G547" s="65"/>
      <c r="H547" s="65"/>
      <c r="I547" s="65"/>
      <c r="J547" s="65"/>
      <c r="K547" s="65"/>
      <c r="L547" s="65"/>
      <c r="M547" s="65"/>
      <c r="N547" s="65"/>
    </row>
    <row r="548" spans="2:14" ht="23.45" customHeight="1">
      <c r="B548" s="65"/>
      <c r="C548" s="66"/>
      <c r="D548" s="65"/>
      <c r="E548" s="65"/>
      <c r="F548" s="65"/>
      <c r="G548" s="65"/>
      <c r="H548" s="65"/>
      <c r="I548" s="65"/>
      <c r="J548" s="65"/>
      <c r="K548" s="65"/>
      <c r="L548" s="65"/>
      <c r="M548" s="65"/>
      <c r="N548" s="65"/>
    </row>
    <row r="549" spans="2:14" ht="23.45" customHeight="1">
      <c r="B549" s="65"/>
      <c r="C549" s="66"/>
      <c r="D549" s="65"/>
      <c r="E549" s="65"/>
      <c r="F549" s="65"/>
      <c r="G549" s="65"/>
      <c r="H549" s="65"/>
      <c r="I549" s="65"/>
      <c r="J549" s="65"/>
      <c r="K549" s="65"/>
      <c r="L549" s="65"/>
      <c r="M549" s="65"/>
      <c r="N549" s="65"/>
    </row>
    <row r="550" spans="2:14" ht="23.45" customHeight="1">
      <c r="B550" s="65"/>
      <c r="C550" s="66"/>
      <c r="D550" s="65"/>
      <c r="E550" s="65"/>
      <c r="F550" s="65"/>
      <c r="G550" s="65"/>
      <c r="H550" s="65"/>
      <c r="I550" s="65"/>
      <c r="J550" s="65"/>
      <c r="K550" s="65"/>
      <c r="L550" s="65"/>
      <c r="M550" s="65"/>
      <c r="N550" s="65"/>
    </row>
    <row r="551" spans="2:14" ht="23.45" customHeight="1">
      <c r="B551" s="65"/>
      <c r="C551" s="66"/>
      <c r="D551" s="65"/>
      <c r="E551" s="65"/>
      <c r="F551" s="65"/>
      <c r="G551" s="65"/>
      <c r="H551" s="65"/>
      <c r="I551" s="65"/>
      <c r="J551" s="65"/>
      <c r="K551" s="65"/>
      <c r="L551" s="65"/>
      <c r="M551" s="65"/>
      <c r="N551" s="65"/>
    </row>
    <row r="552" spans="2:14" ht="23.45" customHeight="1">
      <c r="B552" s="65"/>
      <c r="C552" s="66"/>
      <c r="D552" s="65"/>
      <c r="E552" s="65"/>
      <c r="F552" s="65"/>
      <c r="G552" s="65"/>
      <c r="H552" s="65"/>
      <c r="I552" s="65"/>
      <c r="J552" s="65"/>
      <c r="K552" s="65"/>
      <c r="L552" s="65"/>
      <c r="M552" s="65"/>
      <c r="N552" s="65"/>
    </row>
    <row r="553" spans="2:14" ht="23.45" customHeight="1">
      <c r="B553" s="65"/>
      <c r="C553" s="66"/>
      <c r="D553" s="65"/>
      <c r="E553" s="65"/>
      <c r="F553" s="65"/>
      <c r="G553" s="65"/>
      <c r="H553" s="65"/>
      <c r="I553" s="65"/>
      <c r="J553" s="65"/>
      <c r="K553" s="65"/>
      <c r="L553" s="65"/>
      <c r="M553" s="65"/>
      <c r="N553" s="65"/>
    </row>
    <row r="554" spans="2:14" ht="23.45" customHeight="1">
      <c r="B554" s="65"/>
      <c r="C554" s="66"/>
      <c r="D554" s="65"/>
      <c r="E554" s="65"/>
      <c r="F554" s="65"/>
      <c r="G554" s="65"/>
      <c r="H554" s="65"/>
      <c r="I554" s="65"/>
      <c r="J554" s="65"/>
      <c r="K554" s="65"/>
      <c r="L554" s="65"/>
      <c r="M554" s="65"/>
      <c r="N554" s="65"/>
    </row>
    <row r="555" spans="2:14" ht="23.45" customHeight="1">
      <c r="B555" s="65"/>
      <c r="C555" s="66"/>
      <c r="D555" s="65"/>
      <c r="E555" s="65"/>
      <c r="F555" s="65"/>
      <c r="G555" s="65"/>
      <c r="H555" s="65"/>
      <c r="I555" s="65"/>
      <c r="J555" s="65"/>
      <c r="K555" s="65"/>
      <c r="L555" s="65"/>
      <c r="M555" s="65"/>
      <c r="N555" s="65"/>
    </row>
    <row r="556" spans="2:14" ht="23.45" customHeight="1">
      <c r="B556" s="65"/>
      <c r="C556" s="66"/>
      <c r="D556" s="65"/>
      <c r="E556" s="65"/>
      <c r="F556" s="65"/>
      <c r="G556" s="65"/>
      <c r="H556" s="65"/>
      <c r="I556" s="65"/>
      <c r="J556" s="65"/>
      <c r="K556" s="65"/>
      <c r="L556" s="65"/>
      <c r="M556" s="65"/>
      <c r="N556" s="65"/>
    </row>
    <row r="557" spans="2:14" ht="23.45" customHeight="1">
      <c r="B557" s="65"/>
      <c r="C557" s="66"/>
      <c r="D557" s="65"/>
      <c r="E557" s="65"/>
      <c r="F557" s="65"/>
      <c r="G557" s="65"/>
      <c r="H557" s="65"/>
      <c r="I557" s="65"/>
      <c r="J557" s="65"/>
      <c r="K557" s="65"/>
      <c r="L557" s="65"/>
      <c r="M557" s="65"/>
      <c r="N557" s="65"/>
    </row>
    <row r="558" spans="2:14" ht="23.45" customHeight="1">
      <c r="B558" s="65"/>
      <c r="C558" s="66"/>
      <c r="D558" s="65"/>
      <c r="E558" s="65"/>
      <c r="F558" s="65"/>
      <c r="G558" s="65"/>
      <c r="H558" s="65"/>
      <c r="I558" s="65"/>
      <c r="J558" s="65"/>
      <c r="K558" s="65"/>
      <c r="L558" s="65"/>
      <c r="M558" s="65"/>
      <c r="N558" s="65"/>
    </row>
    <row r="559" spans="2:14" ht="23.45" customHeight="1">
      <c r="B559" s="65"/>
      <c r="C559" s="66"/>
      <c r="D559" s="65"/>
      <c r="E559" s="65"/>
      <c r="F559" s="65"/>
      <c r="G559" s="65"/>
      <c r="H559" s="65"/>
      <c r="I559" s="65"/>
      <c r="J559" s="65"/>
      <c r="K559" s="65"/>
      <c r="L559" s="65"/>
      <c r="M559" s="65"/>
      <c r="N559" s="65"/>
    </row>
    <row r="560" spans="2:14" ht="23.45" customHeight="1">
      <c r="B560" s="65"/>
      <c r="C560" s="66"/>
      <c r="D560" s="65"/>
      <c r="E560" s="65"/>
      <c r="F560" s="65"/>
      <c r="G560" s="65"/>
      <c r="H560" s="65"/>
      <c r="I560" s="65"/>
      <c r="J560" s="65"/>
      <c r="K560" s="65"/>
      <c r="L560" s="65"/>
      <c r="M560" s="65"/>
      <c r="N560" s="65"/>
    </row>
    <row r="561" spans="2:14" ht="23.45" customHeight="1">
      <c r="B561" s="65"/>
      <c r="C561" s="66"/>
      <c r="D561" s="65"/>
      <c r="E561" s="65"/>
      <c r="F561" s="65"/>
      <c r="G561" s="65"/>
      <c r="H561" s="65"/>
      <c r="I561" s="65"/>
      <c r="J561" s="65"/>
      <c r="K561" s="65"/>
      <c r="L561" s="65"/>
      <c r="M561" s="65"/>
      <c r="N561" s="65"/>
    </row>
    <row r="562" spans="2:14" ht="23.45" customHeight="1">
      <c r="B562" s="65"/>
      <c r="C562" s="66"/>
      <c r="D562" s="65"/>
      <c r="E562" s="65"/>
      <c r="F562" s="65"/>
      <c r="G562" s="65"/>
      <c r="H562" s="65"/>
      <c r="I562" s="65"/>
      <c r="J562" s="65"/>
      <c r="K562" s="65"/>
      <c r="L562" s="65"/>
      <c r="M562" s="65"/>
      <c r="N562" s="65"/>
    </row>
    <row r="563" spans="2:14" ht="23.45" customHeight="1">
      <c r="B563" s="65"/>
      <c r="C563" s="66"/>
      <c r="D563" s="65"/>
      <c r="E563" s="65"/>
      <c r="F563" s="65"/>
      <c r="G563" s="65"/>
      <c r="H563" s="65"/>
      <c r="I563" s="65"/>
      <c r="J563" s="65"/>
      <c r="K563" s="65"/>
      <c r="L563" s="65"/>
      <c r="M563" s="65"/>
      <c r="N563" s="65"/>
    </row>
    <row r="564" spans="2:14" ht="23.45" customHeight="1">
      <c r="B564" s="65"/>
      <c r="C564" s="66"/>
      <c r="D564" s="65"/>
      <c r="E564" s="65"/>
      <c r="F564" s="65"/>
      <c r="G564" s="65"/>
      <c r="H564" s="65"/>
      <c r="I564" s="65"/>
      <c r="J564" s="65"/>
      <c r="K564" s="65"/>
      <c r="L564" s="65"/>
      <c r="M564" s="65"/>
      <c r="N564" s="65"/>
    </row>
    <row r="565" spans="2:14" ht="23.45" customHeight="1">
      <c r="B565" s="65"/>
      <c r="C565" s="66"/>
      <c r="D565" s="65"/>
      <c r="E565" s="65"/>
      <c r="F565" s="65"/>
      <c r="G565" s="65"/>
      <c r="H565" s="65"/>
      <c r="I565" s="65"/>
      <c r="J565" s="65"/>
      <c r="K565" s="65"/>
      <c r="L565" s="65"/>
      <c r="M565" s="65"/>
      <c r="N565" s="65"/>
    </row>
    <row r="566" spans="2:14" ht="23.45" customHeight="1">
      <c r="B566" s="65"/>
      <c r="C566" s="66"/>
      <c r="D566" s="65"/>
      <c r="E566" s="65"/>
      <c r="F566" s="65"/>
      <c r="G566" s="65"/>
      <c r="H566" s="65"/>
      <c r="I566" s="65"/>
      <c r="J566" s="65"/>
      <c r="K566" s="65"/>
      <c r="L566" s="65"/>
      <c r="M566" s="65"/>
      <c r="N566" s="65"/>
    </row>
    <row r="567" spans="2:14" ht="23.45" customHeight="1">
      <c r="B567" s="65"/>
      <c r="C567" s="66"/>
      <c r="D567" s="65"/>
      <c r="E567" s="65"/>
      <c r="F567" s="65"/>
      <c r="G567" s="65"/>
      <c r="H567" s="65"/>
      <c r="I567" s="65"/>
      <c r="J567" s="65"/>
      <c r="K567" s="65"/>
      <c r="L567" s="65"/>
      <c r="M567" s="65"/>
      <c r="N567" s="65"/>
    </row>
    <row r="568" spans="2:14" ht="23.45" customHeight="1">
      <c r="B568" s="65"/>
      <c r="C568" s="66"/>
      <c r="D568" s="65"/>
      <c r="E568" s="65"/>
      <c r="F568" s="65"/>
      <c r="G568" s="65"/>
      <c r="H568" s="65"/>
      <c r="I568" s="65"/>
      <c r="J568" s="65"/>
      <c r="K568" s="65"/>
      <c r="L568" s="65"/>
      <c r="M568" s="65"/>
      <c r="N568" s="65"/>
    </row>
    <row r="569" spans="2:14" ht="23.45" customHeight="1">
      <c r="B569" s="65"/>
      <c r="C569" s="66"/>
      <c r="D569" s="65"/>
      <c r="E569" s="65"/>
      <c r="F569" s="65"/>
      <c r="G569" s="65"/>
      <c r="H569" s="65"/>
      <c r="I569" s="65"/>
      <c r="J569" s="65"/>
      <c r="K569" s="65"/>
      <c r="L569" s="65"/>
      <c r="M569" s="65"/>
      <c r="N569" s="65"/>
    </row>
    <row r="570" spans="2:14" ht="23.45" customHeight="1">
      <c r="B570" s="65"/>
      <c r="C570" s="66"/>
      <c r="D570" s="65"/>
      <c r="E570" s="65"/>
      <c r="F570" s="65"/>
      <c r="G570" s="65"/>
      <c r="H570" s="65"/>
      <c r="I570" s="65"/>
      <c r="J570" s="65"/>
      <c r="K570" s="65"/>
      <c r="L570" s="65"/>
      <c r="M570" s="65"/>
      <c r="N570" s="65"/>
    </row>
    <row r="571" spans="2:14" ht="23.45" customHeight="1">
      <c r="B571" s="65"/>
      <c r="C571" s="66"/>
      <c r="D571" s="65"/>
      <c r="E571" s="65"/>
      <c r="F571" s="65"/>
      <c r="G571" s="65"/>
      <c r="H571" s="65"/>
      <c r="I571" s="65"/>
      <c r="J571" s="65"/>
      <c r="K571" s="65"/>
      <c r="L571" s="65"/>
      <c r="M571" s="65"/>
      <c r="N571" s="65"/>
    </row>
    <row r="572" spans="2:14" ht="23.45" customHeight="1">
      <c r="B572" s="65"/>
      <c r="C572" s="66"/>
      <c r="D572" s="65"/>
      <c r="E572" s="65"/>
      <c r="F572" s="65"/>
      <c r="G572" s="65"/>
      <c r="H572" s="65"/>
      <c r="I572" s="65"/>
      <c r="J572" s="65"/>
      <c r="K572" s="65"/>
      <c r="L572" s="65"/>
      <c r="M572" s="65"/>
      <c r="N572" s="65"/>
    </row>
    <row r="573" spans="2:14" ht="23.45" customHeight="1">
      <c r="B573" s="65"/>
      <c r="C573" s="66"/>
      <c r="D573" s="65"/>
      <c r="E573" s="65"/>
      <c r="F573" s="65"/>
      <c r="G573" s="65"/>
      <c r="H573" s="65"/>
      <c r="I573" s="65"/>
      <c r="J573" s="65"/>
      <c r="K573" s="65"/>
      <c r="L573" s="65"/>
      <c r="M573" s="65"/>
      <c r="N573" s="65"/>
    </row>
    <row r="574" spans="2:14" ht="23.45" customHeight="1">
      <c r="B574" s="65"/>
      <c r="C574" s="66"/>
      <c r="D574" s="65"/>
      <c r="E574" s="65"/>
      <c r="F574" s="65"/>
      <c r="G574" s="65"/>
      <c r="H574" s="65"/>
      <c r="I574" s="65"/>
      <c r="J574" s="65"/>
      <c r="K574" s="65"/>
      <c r="L574" s="65"/>
      <c r="M574" s="65"/>
      <c r="N574" s="65"/>
    </row>
    <row r="575" spans="2:14" ht="23.45" customHeight="1">
      <c r="B575" s="65"/>
      <c r="C575" s="66"/>
      <c r="D575" s="65"/>
      <c r="E575" s="65"/>
      <c r="F575" s="65"/>
      <c r="G575" s="65"/>
      <c r="H575" s="65"/>
      <c r="I575" s="65"/>
      <c r="J575" s="65"/>
      <c r="K575" s="65"/>
      <c r="L575" s="65"/>
      <c r="M575" s="65"/>
      <c r="N575" s="65"/>
    </row>
    <row r="576" spans="2:14" ht="23.45" customHeight="1">
      <c r="B576" s="65"/>
      <c r="C576" s="66"/>
      <c r="D576" s="65"/>
      <c r="E576" s="65"/>
      <c r="F576" s="65"/>
      <c r="G576" s="65"/>
      <c r="H576" s="65"/>
      <c r="I576" s="65"/>
      <c r="J576" s="65"/>
      <c r="K576" s="65"/>
      <c r="L576" s="65"/>
      <c r="M576" s="65"/>
      <c r="N576" s="65"/>
    </row>
    <row r="577" spans="2:14" ht="23.45" customHeight="1">
      <c r="B577" s="65"/>
      <c r="C577" s="66"/>
      <c r="D577" s="65"/>
      <c r="E577" s="65"/>
      <c r="F577" s="65"/>
      <c r="G577" s="65"/>
      <c r="H577" s="65"/>
      <c r="I577" s="65"/>
      <c r="J577" s="65"/>
      <c r="K577" s="65"/>
      <c r="L577" s="65"/>
      <c r="M577" s="65"/>
      <c r="N577" s="65"/>
    </row>
    <row r="578" spans="2:14" ht="23.45" customHeight="1">
      <c r="B578" s="65"/>
      <c r="C578" s="66"/>
      <c r="D578" s="65"/>
      <c r="E578" s="65"/>
      <c r="F578" s="65"/>
      <c r="G578" s="65"/>
      <c r="H578" s="65"/>
      <c r="I578" s="65"/>
      <c r="J578" s="65"/>
      <c r="K578" s="65"/>
      <c r="L578" s="65"/>
      <c r="M578" s="65"/>
      <c r="N578" s="65"/>
    </row>
    <row r="579" spans="2:14" ht="23.45" customHeight="1">
      <c r="B579" s="65"/>
      <c r="C579" s="66"/>
      <c r="D579" s="65"/>
      <c r="E579" s="65"/>
      <c r="F579" s="65"/>
      <c r="G579" s="65"/>
      <c r="H579" s="65"/>
      <c r="I579" s="65"/>
      <c r="J579" s="65"/>
      <c r="K579" s="65"/>
      <c r="L579" s="65"/>
      <c r="M579" s="65"/>
      <c r="N579" s="65"/>
    </row>
    <row r="580" spans="2:14" ht="23.45" customHeight="1">
      <c r="B580" s="65"/>
      <c r="C580" s="66"/>
      <c r="D580" s="65"/>
      <c r="E580" s="65"/>
      <c r="F580" s="65"/>
      <c r="G580" s="65"/>
      <c r="H580" s="65"/>
      <c r="I580" s="65"/>
      <c r="J580" s="65"/>
      <c r="K580" s="65"/>
      <c r="L580" s="65"/>
      <c r="M580" s="65"/>
      <c r="N580" s="65"/>
    </row>
    <row r="581" spans="2:14" ht="23.45" customHeight="1">
      <c r="B581" s="65"/>
      <c r="C581" s="66"/>
      <c r="D581" s="65"/>
      <c r="E581" s="65"/>
      <c r="F581" s="65"/>
      <c r="G581" s="65"/>
      <c r="H581" s="65"/>
      <c r="I581" s="65"/>
      <c r="J581" s="65"/>
      <c r="K581" s="65"/>
      <c r="L581" s="65"/>
      <c r="M581" s="65"/>
      <c r="N581" s="65"/>
    </row>
    <row r="582" spans="2:14" ht="23.45" customHeight="1">
      <c r="B582" s="65"/>
      <c r="C582" s="66"/>
      <c r="D582" s="65"/>
      <c r="E582" s="65"/>
      <c r="F582" s="65"/>
      <c r="G582" s="65"/>
      <c r="H582" s="65"/>
      <c r="I582" s="65"/>
      <c r="J582" s="65"/>
      <c r="K582" s="65"/>
      <c r="L582" s="65"/>
      <c r="M582" s="65"/>
      <c r="N582" s="65"/>
    </row>
    <row r="583" spans="2:14" ht="23.45" customHeight="1">
      <c r="B583" s="65"/>
      <c r="C583" s="66"/>
      <c r="D583" s="65"/>
      <c r="E583" s="65"/>
      <c r="F583" s="65"/>
      <c r="G583" s="65"/>
      <c r="H583" s="65"/>
      <c r="I583" s="65"/>
      <c r="J583" s="65"/>
      <c r="K583" s="65"/>
      <c r="L583" s="65"/>
      <c r="M583" s="65"/>
      <c r="N583" s="65"/>
    </row>
    <row r="584" spans="2:14" ht="23.45" customHeight="1">
      <c r="B584" s="65"/>
      <c r="C584" s="66"/>
      <c r="D584" s="65"/>
      <c r="E584" s="65"/>
      <c r="F584" s="65"/>
      <c r="G584" s="65"/>
      <c r="H584" s="65"/>
      <c r="I584" s="65"/>
      <c r="J584" s="65"/>
      <c r="K584" s="65"/>
      <c r="L584" s="65"/>
      <c r="M584" s="65"/>
      <c r="N584" s="65"/>
    </row>
    <row r="585" spans="2:14" ht="23.45" customHeight="1">
      <c r="B585" s="65"/>
      <c r="C585" s="66"/>
      <c r="D585" s="65"/>
      <c r="E585" s="65"/>
      <c r="F585" s="65"/>
      <c r="G585" s="65"/>
      <c r="H585" s="65"/>
      <c r="I585" s="65"/>
      <c r="J585" s="65"/>
      <c r="K585" s="65"/>
      <c r="L585" s="65"/>
      <c r="M585" s="65"/>
      <c r="N585" s="65"/>
    </row>
    <row r="586" spans="2:14" ht="23.45" customHeight="1">
      <c r="B586" s="65"/>
      <c r="C586" s="66"/>
      <c r="D586" s="65"/>
      <c r="E586" s="65"/>
      <c r="F586" s="65"/>
      <c r="G586" s="65"/>
      <c r="H586" s="65"/>
      <c r="I586" s="65"/>
      <c r="J586" s="65"/>
      <c r="K586" s="65"/>
      <c r="L586" s="65"/>
      <c r="M586" s="65"/>
      <c r="N586" s="65"/>
    </row>
    <row r="587" spans="2:14" ht="23.45" customHeight="1">
      <c r="B587" s="65"/>
      <c r="C587" s="66"/>
      <c r="D587" s="65"/>
      <c r="E587" s="65"/>
      <c r="F587" s="65"/>
      <c r="G587" s="65"/>
      <c r="H587" s="65"/>
      <c r="I587" s="65"/>
      <c r="J587" s="65"/>
      <c r="K587" s="65"/>
      <c r="L587" s="65"/>
      <c r="M587" s="65"/>
      <c r="N587" s="65"/>
    </row>
    <row r="588" spans="2:14" ht="23.45" customHeight="1">
      <c r="B588" s="65"/>
      <c r="C588" s="66"/>
      <c r="D588" s="65"/>
      <c r="E588" s="65"/>
      <c r="F588" s="65"/>
      <c r="G588" s="65"/>
      <c r="H588" s="65"/>
      <c r="I588" s="65"/>
      <c r="J588" s="65"/>
      <c r="K588" s="65"/>
      <c r="L588" s="65"/>
      <c r="M588" s="65"/>
      <c r="N588" s="65"/>
    </row>
    <row r="589" spans="2:14" ht="23.45" customHeight="1">
      <c r="B589" s="65"/>
      <c r="C589" s="66"/>
      <c r="D589" s="65"/>
      <c r="E589" s="65"/>
      <c r="F589" s="65"/>
      <c r="G589" s="65"/>
      <c r="H589" s="65"/>
      <c r="I589" s="65"/>
      <c r="J589" s="65"/>
      <c r="K589" s="65"/>
      <c r="L589" s="65"/>
      <c r="M589" s="65"/>
      <c r="N589" s="65"/>
    </row>
    <row r="590" spans="2:14" ht="23.45" customHeight="1">
      <c r="B590" s="65"/>
      <c r="C590" s="66"/>
      <c r="D590" s="65"/>
      <c r="E590" s="65"/>
      <c r="F590" s="65"/>
      <c r="G590" s="65"/>
      <c r="H590" s="65"/>
      <c r="I590" s="65"/>
      <c r="J590" s="65"/>
      <c r="K590" s="65"/>
      <c r="L590" s="65"/>
      <c r="M590" s="65"/>
      <c r="N590" s="65"/>
    </row>
    <row r="591" spans="2:14" ht="23.45" customHeight="1">
      <c r="B591" s="65"/>
      <c r="C591" s="66"/>
      <c r="D591" s="65"/>
      <c r="E591" s="65"/>
      <c r="F591" s="65"/>
      <c r="G591" s="65"/>
      <c r="H591" s="65"/>
      <c r="I591" s="65"/>
      <c r="J591" s="65"/>
      <c r="K591" s="65"/>
      <c r="L591" s="65"/>
      <c r="M591" s="65"/>
      <c r="N591" s="65"/>
    </row>
    <row r="592" spans="2:14" ht="23.45" customHeight="1">
      <c r="B592" s="65"/>
      <c r="C592" s="66"/>
      <c r="D592" s="65"/>
      <c r="E592" s="65"/>
      <c r="F592" s="65"/>
      <c r="G592" s="65"/>
      <c r="H592" s="65"/>
      <c r="I592" s="65"/>
      <c r="J592" s="65"/>
      <c r="K592" s="65"/>
      <c r="L592" s="65"/>
      <c r="M592" s="65"/>
      <c r="N592" s="65"/>
    </row>
    <row r="593" spans="2:14" ht="23.45" customHeight="1">
      <c r="B593" s="65"/>
      <c r="C593" s="66"/>
      <c r="D593" s="65"/>
      <c r="E593" s="65"/>
      <c r="F593" s="65"/>
      <c r="G593" s="65"/>
      <c r="H593" s="65"/>
      <c r="I593" s="65"/>
      <c r="J593" s="65"/>
      <c r="K593" s="65"/>
      <c r="L593" s="65"/>
      <c r="M593" s="65"/>
      <c r="N593" s="65"/>
    </row>
    <row r="594" spans="2:14" ht="23.45" customHeight="1">
      <c r="B594" s="65"/>
      <c r="C594" s="66"/>
      <c r="D594" s="65"/>
      <c r="E594" s="65"/>
      <c r="F594" s="65"/>
      <c r="G594" s="65"/>
      <c r="H594" s="65"/>
      <c r="I594" s="65"/>
      <c r="J594" s="65"/>
      <c r="K594" s="65"/>
      <c r="L594" s="65"/>
      <c r="M594" s="65"/>
      <c r="N594" s="65"/>
    </row>
    <row r="595" spans="2:14" ht="23.45" customHeight="1">
      <c r="B595" s="65"/>
      <c r="C595" s="66"/>
      <c r="D595" s="65"/>
      <c r="E595" s="65"/>
      <c r="F595" s="65"/>
      <c r="G595" s="65"/>
      <c r="H595" s="65"/>
      <c r="I595" s="65"/>
      <c r="J595" s="65"/>
      <c r="K595" s="65"/>
      <c r="L595" s="65"/>
      <c r="M595" s="65"/>
      <c r="N595" s="65"/>
    </row>
    <row r="596" spans="2:14" ht="23.45" customHeight="1">
      <c r="B596" s="65"/>
      <c r="C596" s="66"/>
      <c r="D596" s="65"/>
      <c r="E596" s="65"/>
      <c r="F596" s="65"/>
      <c r="G596" s="65"/>
      <c r="H596" s="65"/>
      <c r="I596" s="65"/>
      <c r="J596" s="65"/>
      <c r="K596" s="65"/>
      <c r="L596" s="65"/>
      <c r="M596" s="65"/>
      <c r="N596" s="65"/>
    </row>
    <row r="597" spans="2:14" ht="23.45" customHeight="1">
      <c r="B597" s="65"/>
      <c r="C597" s="66"/>
      <c r="D597" s="65"/>
      <c r="E597" s="65"/>
      <c r="F597" s="65"/>
      <c r="G597" s="65"/>
      <c r="H597" s="65"/>
      <c r="I597" s="65"/>
      <c r="J597" s="65"/>
      <c r="K597" s="65"/>
      <c r="L597" s="65"/>
      <c r="M597" s="65"/>
      <c r="N597" s="65"/>
    </row>
    <row r="598" spans="2:14" ht="23.45" customHeight="1">
      <c r="B598" s="65"/>
      <c r="C598" s="66"/>
      <c r="D598" s="65"/>
      <c r="E598" s="65"/>
      <c r="F598" s="65"/>
      <c r="G598" s="65"/>
      <c r="H598" s="65"/>
      <c r="I598" s="65"/>
      <c r="J598" s="65"/>
      <c r="K598" s="65"/>
      <c r="L598" s="65"/>
      <c r="M598" s="65"/>
      <c r="N598" s="65"/>
    </row>
    <row r="599" spans="2:14" ht="23.45" customHeight="1">
      <c r="B599" s="65"/>
      <c r="C599" s="66"/>
      <c r="D599" s="65"/>
      <c r="E599" s="65"/>
      <c r="F599" s="65"/>
      <c r="G599" s="65"/>
      <c r="H599" s="65"/>
      <c r="I599" s="65"/>
      <c r="J599" s="65"/>
      <c r="K599" s="65"/>
      <c r="L599" s="65"/>
      <c r="M599" s="65"/>
      <c r="N599" s="65"/>
    </row>
    <row r="600" spans="2:14" ht="23.45" customHeight="1">
      <c r="B600" s="65"/>
      <c r="C600" s="66"/>
      <c r="D600" s="65"/>
      <c r="E600" s="65"/>
      <c r="F600" s="65"/>
      <c r="G600" s="65"/>
      <c r="H600" s="65"/>
      <c r="I600" s="65"/>
      <c r="J600" s="65"/>
      <c r="K600" s="65"/>
      <c r="L600" s="65"/>
      <c r="M600" s="65"/>
      <c r="N600" s="65"/>
    </row>
    <row r="601" spans="2:14" ht="23.45" customHeight="1">
      <c r="B601" s="65"/>
      <c r="C601" s="66"/>
      <c r="D601" s="65"/>
      <c r="E601" s="65"/>
      <c r="F601" s="65"/>
      <c r="G601" s="65"/>
      <c r="H601" s="65"/>
      <c r="I601" s="65"/>
      <c r="J601" s="65"/>
      <c r="K601" s="65"/>
      <c r="L601" s="65"/>
      <c r="M601" s="65"/>
      <c r="N601" s="65"/>
    </row>
    <row r="602" spans="2:14" ht="23.45" customHeight="1">
      <c r="B602" s="65"/>
      <c r="C602" s="66"/>
      <c r="D602" s="65"/>
      <c r="E602" s="65"/>
      <c r="F602" s="65"/>
      <c r="G602" s="65"/>
      <c r="H602" s="65"/>
      <c r="I602" s="65"/>
      <c r="J602" s="65"/>
      <c r="K602" s="65"/>
      <c r="L602" s="65"/>
      <c r="M602" s="65"/>
      <c r="N602" s="65"/>
    </row>
    <row r="603" spans="2:14" ht="23.45" customHeight="1">
      <c r="B603" s="65"/>
      <c r="C603" s="66"/>
      <c r="D603" s="65"/>
      <c r="E603" s="65"/>
      <c r="F603" s="65"/>
      <c r="G603" s="65"/>
      <c r="H603" s="65"/>
      <c r="I603" s="65"/>
      <c r="J603" s="65"/>
      <c r="K603" s="65"/>
      <c r="L603" s="65"/>
      <c r="M603" s="65"/>
      <c r="N603" s="65"/>
    </row>
    <row r="604" spans="2:14" ht="23.45" customHeight="1">
      <c r="B604" s="65"/>
      <c r="C604" s="66"/>
      <c r="D604" s="65"/>
      <c r="E604" s="65"/>
      <c r="F604" s="65"/>
      <c r="G604" s="65"/>
      <c r="H604" s="65"/>
      <c r="I604" s="65"/>
      <c r="J604" s="65"/>
      <c r="K604" s="65"/>
      <c r="L604" s="65"/>
      <c r="M604" s="65"/>
      <c r="N604" s="65"/>
    </row>
    <row r="605" spans="2:14" ht="23.45" customHeight="1">
      <c r="B605" s="65"/>
      <c r="C605" s="66"/>
      <c r="D605" s="65"/>
      <c r="E605" s="65"/>
      <c r="F605" s="65"/>
      <c r="G605" s="65"/>
      <c r="H605" s="65"/>
      <c r="I605" s="65"/>
      <c r="J605" s="65"/>
      <c r="K605" s="65"/>
      <c r="L605" s="65"/>
      <c r="M605" s="65"/>
      <c r="N605" s="65"/>
    </row>
    <row r="606" spans="2:14" ht="23.45" customHeight="1">
      <c r="B606" s="65"/>
      <c r="C606" s="66"/>
      <c r="D606" s="65"/>
      <c r="E606" s="65"/>
      <c r="F606" s="65"/>
      <c r="G606" s="65"/>
      <c r="H606" s="65"/>
      <c r="I606" s="65"/>
      <c r="J606" s="65"/>
      <c r="K606" s="65"/>
      <c r="L606" s="65"/>
      <c r="M606" s="65"/>
      <c r="N606" s="65"/>
    </row>
    <row r="607" spans="2:14" ht="23.45" customHeight="1">
      <c r="B607" s="65"/>
      <c r="C607" s="66"/>
      <c r="D607" s="65"/>
      <c r="E607" s="65"/>
      <c r="F607" s="65"/>
      <c r="G607" s="65"/>
      <c r="H607" s="65"/>
      <c r="I607" s="65"/>
      <c r="J607" s="65"/>
      <c r="K607" s="65"/>
      <c r="L607" s="65"/>
      <c r="M607" s="65"/>
      <c r="N607" s="65"/>
    </row>
    <row r="608" spans="2:14" ht="23.45" customHeight="1">
      <c r="B608" s="65"/>
      <c r="C608" s="66"/>
      <c r="D608" s="65"/>
      <c r="E608" s="65"/>
      <c r="F608" s="65"/>
      <c r="G608" s="65"/>
      <c r="H608" s="65"/>
      <c r="I608" s="65"/>
      <c r="J608" s="65"/>
      <c r="K608" s="65"/>
      <c r="L608" s="65"/>
      <c r="M608" s="65"/>
      <c r="N608" s="65"/>
    </row>
    <row r="609" spans="2:14" ht="23.45" customHeight="1">
      <c r="B609" s="65"/>
      <c r="C609" s="66"/>
      <c r="D609" s="65"/>
      <c r="E609" s="65"/>
      <c r="F609" s="65"/>
      <c r="G609" s="65"/>
      <c r="H609" s="65"/>
      <c r="I609" s="65"/>
      <c r="J609" s="65"/>
      <c r="K609" s="65"/>
      <c r="L609" s="65"/>
      <c r="M609" s="65"/>
      <c r="N609" s="65"/>
    </row>
    <row r="610" spans="2:14" ht="23.45" customHeight="1">
      <c r="B610" s="65"/>
      <c r="C610" s="66"/>
      <c r="D610" s="65"/>
      <c r="E610" s="65"/>
      <c r="F610" s="65"/>
      <c r="G610" s="65"/>
      <c r="H610" s="65"/>
      <c r="I610" s="65"/>
      <c r="J610" s="65"/>
      <c r="K610" s="65"/>
      <c r="L610" s="65"/>
      <c r="M610" s="65"/>
      <c r="N610" s="65"/>
    </row>
    <row r="611" spans="2:14" ht="23.45" customHeight="1">
      <c r="B611" s="65"/>
      <c r="C611" s="66"/>
      <c r="D611" s="65"/>
      <c r="E611" s="65"/>
      <c r="F611" s="65"/>
      <c r="G611" s="65"/>
      <c r="H611" s="65"/>
      <c r="I611" s="65"/>
      <c r="J611" s="65"/>
      <c r="K611" s="65"/>
      <c r="L611" s="65"/>
      <c r="M611" s="65"/>
      <c r="N611" s="65"/>
    </row>
    <row r="612" spans="2:14" ht="23.45" customHeight="1">
      <c r="B612" s="65"/>
      <c r="C612" s="66"/>
      <c r="D612" s="65"/>
      <c r="E612" s="65"/>
      <c r="F612" s="65"/>
      <c r="G612" s="65"/>
      <c r="H612" s="65"/>
      <c r="I612" s="65"/>
      <c r="J612" s="65"/>
      <c r="K612" s="65"/>
      <c r="L612" s="65"/>
      <c r="M612" s="65"/>
      <c r="N612" s="65"/>
    </row>
    <row r="613" spans="2:14" ht="23.45" customHeight="1">
      <c r="B613" s="65"/>
      <c r="C613" s="66"/>
      <c r="D613" s="65"/>
      <c r="E613" s="65"/>
      <c r="F613" s="65"/>
      <c r="G613" s="65"/>
      <c r="H613" s="65"/>
      <c r="I613" s="65"/>
      <c r="J613" s="65"/>
      <c r="K613" s="65"/>
      <c r="L613" s="65"/>
      <c r="M613" s="65"/>
      <c r="N613" s="65"/>
    </row>
    <row r="614" spans="2:14" ht="23.45" customHeight="1">
      <c r="B614" s="65"/>
      <c r="C614" s="66"/>
      <c r="D614" s="65"/>
      <c r="E614" s="65"/>
      <c r="F614" s="65"/>
      <c r="G614" s="65"/>
      <c r="H614" s="65"/>
      <c r="I614" s="65"/>
      <c r="J614" s="65"/>
      <c r="K614" s="65"/>
      <c r="L614" s="65"/>
      <c r="M614" s="65"/>
      <c r="N614" s="65"/>
    </row>
    <row r="615" spans="2:14" ht="23.45" customHeight="1">
      <c r="B615" s="65"/>
      <c r="C615" s="66"/>
      <c r="D615" s="65"/>
      <c r="E615" s="65"/>
      <c r="F615" s="65"/>
      <c r="G615" s="65"/>
      <c r="H615" s="65"/>
      <c r="I615" s="65"/>
      <c r="J615" s="65"/>
      <c r="K615" s="65"/>
      <c r="L615" s="65"/>
      <c r="M615" s="65"/>
      <c r="N615" s="65"/>
    </row>
    <row r="616" spans="2:14" ht="23.45" customHeight="1">
      <c r="B616" s="65"/>
      <c r="C616" s="66"/>
      <c r="D616" s="65"/>
      <c r="E616" s="65"/>
      <c r="F616" s="65"/>
      <c r="G616" s="65"/>
      <c r="H616" s="65"/>
      <c r="I616" s="65"/>
      <c r="J616" s="65"/>
      <c r="K616" s="65"/>
      <c r="L616" s="65"/>
      <c r="M616" s="65"/>
      <c r="N616" s="65"/>
    </row>
    <row r="617" spans="2:14" ht="23.45" customHeight="1">
      <c r="B617" s="65"/>
      <c r="C617" s="66"/>
      <c r="D617" s="65"/>
      <c r="E617" s="65"/>
      <c r="F617" s="65"/>
      <c r="G617" s="65"/>
      <c r="H617" s="65"/>
      <c r="I617" s="65"/>
      <c r="J617" s="65"/>
      <c r="K617" s="65"/>
      <c r="L617" s="65"/>
      <c r="M617" s="65"/>
      <c r="N617" s="65"/>
    </row>
    <row r="618" spans="2:14" ht="23.45" customHeight="1">
      <c r="B618" s="65"/>
      <c r="C618" s="66"/>
      <c r="D618" s="65"/>
      <c r="E618" s="65"/>
      <c r="F618" s="65"/>
      <c r="G618" s="65"/>
      <c r="H618" s="65"/>
      <c r="I618" s="65"/>
      <c r="J618" s="65"/>
      <c r="K618" s="65"/>
      <c r="L618" s="65"/>
      <c r="M618" s="65"/>
      <c r="N618" s="65"/>
    </row>
    <row r="619" spans="2:14" ht="23.45" customHeight="1">
      <c r="B619" s="65"/>
      <c r="C619" s="66"/>
      <c r="D619" s="65"/>
      <c r="E619" s="65"/>
      <c r="F619" s="65"/>
      <c r="G619" s="65"/>
      <c r="H619" s="65"/>
      <c r="I619" s="65"/>
      <c r="J619" s="65"/>
      <c r="K619" s="65"/>
      <c r="L619" s="65"/>
      <c r="M619" s="65"/>
      <c r="N619" s="65"/>
    </row>
    <row r="620" spans="2:14" ht="23.45" customHeight="1">
      <c r="B620" s="65"/>
      <c r="C620" s="66"/>
      <c r="D620" s="65"/>
      <c r="E620" s="65"/>
      <c r="F620" s="65"/>
      <c r="G620" s="65"/>
      <c r="H620" s="65"/>
      <c r="I620" s="65"/>
      <c r="J620" s="65"/>
      <c r="K620" s="65"/>
      <c r="L620" s="65"/>
      <c r="M620" s="65"/>
      <c r="N620" s="65"/>
    </row>
    <row r="621" spans="2:14" ht="23.45" customHeight="1">
      <c r="B621" s="65"/>
      <c r="C621" s="66"/>
      <c r="D621" s="65"/>
      <c r="E621" s="65"/>
      <c r="F621" s="65"/>
      <c r="G621" s="65"/>
      <c r="H621" s="65"/>
      <c r="I621" s="65"/>
      <c r="J621" s="65"/>
      <c r="K621" s="65"/>
      <c r="L621" s="65"/>
      <c r="M621" s="65"/>
      <c r="N621" s="65"/>
    </row>
    <row r="622" spans="2:14" ht="23.45" customHeight="1">
      <c r="B622" s="65"/>
      <c r="C622" s="66"/>
      <c r="D622" s="65"/>
      <c r="E622" s="65"/>
      <c r="F622" s="65"/>
      <c r="G622" s="65"/>
      <c r="H622" s="65"/>
      <c r="I622" s="65"/>
      <c r="J622" s="65"/>
      <c r="K622" s="65"/>
      <c r="L622" s="65"/>
      <c r="M622" s="65"/>
      <c r="N622" s="65"/>
    </row>
    <row r="623" spans="2:14" ht="23.45" customHeight="1">
      <c r="B623" s="65"/>
      <c r="C623" s="66"/>
      <c r="D623" s="65"/>
      <c r="E623" s="65"/>
      <c r="F623" s="65"/>
      <c r="G623" s="65"/>
      <c r="H623" s="65"/>
      <c r="I623" s="65"/>
      <c r="J623" s="65"/>
      <c r="K623" s="65"/>
      <c r="L623" s="65"/>
      <c r="M623" s="65"/>
      <c r="N623" s="65"/>
    </row>
    <row r="624" spans="2:14" ht="23.45" customHeight="1">
      <c r="B624" s="65"/>
      <c r="C624" s="66"/>
      <c r="D624" s="65"/>
      <c r="E624" s="65"/>
      <c r="F624" s="65"/>
      <c r="G624" s="65"/>
      <c r="H624" s="65"/>
      <c r="I624" s="65"/>
      <c r="J624" s="65"/>
      <c r="K624" s="65"/>
      <c r="L624" s="65"/>
      <c r="M624" s="65"/>
      <c r="N624" s="65"/>
    </row>
    <row r="625" spans="2:14" ht="23.45" customHeight="1">
      <c r="B625" s="65"/>
      <c r="C625" s="66"/>
      <c r="D625" s="65"/>
      <c r="E625" s="65"/>
      <c r="F625" s="65"/>
      <c r="G625" s="65"/>
      <c r="H625" s="65"/>
      <c r="I625" s="65"/>
      <c r="J625" s="65"/>
      <c r="K625" s="65"/>
      <c r="L625" s="65"/>
      <c r="M625" s="65"/>
      <c r="N625" s="65"/>
    </row>
    <row r="626" spans="2:14" ht="23.45" customHeight="1">
      <c r="B626" s="65"/>
      <c r="C626" s="66"/>
      <c r="D626" s="65"/>
      <c r="E626" s="65"/>
      <c r="F626" s="65"/>
      <c r="G626" s="65"/>
      <c r="H626" s="65"/>
      <c r="I626" s="65"/>
      <c r="J626" s="65"/>
      <c r="K626" s="65"/>
      <c r="L626" s="65"/>
      <c r="M626" s="65"/>
      <c r="N626" s="65"/>
    </row>
    <row r="627" spans="2:14" ht="23.45" customHeight="1">
      <c r="B627" s="65"/>
      <c r="C627" s="66"/>
      <c r="D627" s="65"/>
      <c r="E627" s="65"/>
      <c r="F627" s="65"/>
      <c r="G627" s="65"/>
      <c r="H627" s="65"/>
      <c r="I627" s="65"/>
      <c r="J627" s="65"/>
      <c r="K627" s="65"/>
      <c r="L627" s="65"/>
      <c r="M627" s="65"/>
      <c r="N627" s="65"/>
    </row>
    <row r="628" spans="2:14" ht="23.45" customHeight="1">
      <c r="B628" s="65"/>
      <c r="C628" s="66"/>
      <c r="D628" s="65"/>
      <c r="E628" s="65"/>
      <c r="F628" s="65"/>
      <c r="G628" s="65"/>
      <c r="H628" s="65"/>
      <c r="I628" s="65"/>
      <c r="J628" s="65"/>
      <c r="K628" s="65"/>
      <c r="L628" s="65"/>
      <c r="M628" s="65"/>
      <c r="N628" s="65"/>
    </row>
    <row r="629" spans="2:14" ht="23.45" customHeight="1">
      <c r="B629" s="65"/>
      <c r="C629" s="66"/>
      <c r="D629" s="65"/>
      <c r="E629" s="65"/>
      <c r="F629" s="65"/>
      <c r="G629" s="65"/>
      <c r="H629" s="65"/>
      <c r="I629" s="65"/>
      <c r="J629" s="65"/>
      <c r="K629" s="65"/>
      <c r="L629" s="65"/>
      <c r="M629" s="65"/>
      <c r="N629" s="65"/>
    </row>
    <row r="630" spans="2:14" ht="23.45" customHeight="1">
      <c r="B630" s="65"/>
      <c r="C630" s="66"/>
      <c r="D630" s="65"/>
      <c r="E630" s="65"/>
      <c r="F630" s="65"/>
      <c r="G630" s="65"/>
      <c r="H630" s="65"/>
      <c r="I630" s="65"/>
      <c r="J630" s="65"/>
      <c r="K630" s="65"/>
      <c r="L630" s="65"/>
      <c r="M630" s="65"/>
      <c r="N630" s="65"/>
    </row>
    <row r="631" spans="2:14" ht="23.45" customHeight="1">
      <c r="B631" s="65"/>
      <c r="C631" s="66"/>
      <c r="D631" s="65"/>
      <c r="E631" s="65"/>
      <c r="F631" s="65"/>
      <c r="G631" s="65"/>
      <c r="H631" s="65"/>
      <c r="I631" s="65"/>
      <c r="J631" s="65"/>
      <c r="K631" s="65"/>
      <c r="L631" s="65"/>
      <c r="M631" s="65"/>
      <c r="N631" s="65"/>
    </row>
    <row r="632" spans="2:14" ht="23.45" customHeight="1">
      <c r="B632" s="65"/>
      <c r="C632" s="66"/>
      <c r="D632" s="65"/>
      <c r="E632" s="65"/>
      <c r="F632" s="65"/>
      <c r="G632" s="65"/>
      <c r="H632" s="65"/>
      <c r="I632" s="65"/>
      <c r="J632" s="65"/>
      <c r="K632" s="65"/>
      <c r="L632" s="65"/>
      <c r="M632" s="65"/>
      <c r="N632" s="65"/>
    </row>
    <row r="633" spans="2:14" ht="23.45" customHeight="1">
      <c r="B633" s="65"/>
      <c r="C633" s="66"/>
      <c r="D633" s="65"/>
      <c r="E633" s="65"/>
      <c r="F633" s="65"/>
      <c r="G633" s="65"/>
      <c r="H633" s="65"/>
      <c r="I633" s="65"/>
      <c r="J633" s="65"/>
      <c r="K633" s="65"/>
      <c r="L633" s="65"/>
      <c r="M633" s="65"/>
      <c r="N633" s="65"/>
    </row>
    <row r="634" spans="2:14" ht="23.45" customHeight="1">
      <c r="B634" s="65"/>
      <c r="C634" s="66"/>
      <c r="D634" s="65"/>
      <c r="E634" s="65"/>
      <c r="F634" s="65"/>
      <c r="G634" s="65"/>
      <c r="H634" s="65"/>
      <c r="I634" s="65"/>
      <c r="J634" s="65"/>
      <c r="K634" s="65"/>
      <c r="L634" s="65"/>
      <c r="M634" s="65"/>
      <c r="N634" s="65"/>
    </row>
    <row r="635" spans="2:14" ht="23.45" customHeight="1">
      <c r="B635" s="65"/>
      <c r="C635" s="66"/>
      <c r="D635" s="65"/>
      <c r="E635" s="65"/>
      <c r="F635" s="65"/>
      <c r="G635" s="65"/>
      <c r="H635" s="65"/>
      <c r="I635" s="65"/>
      <c r="J635" s="65"/>
      <c r="K635" s="65"/>
      <c r="L635" s="65"/>
      <c r="M635" s="65"/>
      <c r="N635" s="65"/>
    </row>
    <row r="636" spans="2:14" ht="23.45" customHeight="1">
      <c r="B636" s="65"/>
      <c r="C636" s="66"/>
      <c r="D636" s="65"/>
      <c r="E636" s="65"/>
      <c r="F636" s="65"/>
      <c r="G636" s="65"/>
      <c r="H636" s="65"/>
      <c r="I636" s="65"/>
      <c r="J636" s="65"/>
      <c r="K636" s="65"/>
      <c r="L636" s="65"/>
      <c r="M636" s="65"/>
      <c r="N636" s="65"/>
    </row>
    <row r="637" spans="2:14" ht="23.45" customHeight="1">
      <c r="B637" s="65"/>
      <c r="C637" s="66"/>
      <c r="D637" s="65"/>
      <c r="E637" s="65"/>
      <c r="F637" s="65"/>
      <c r="G637" s="65"/>
      <c r="H637" s="65"/>
      <c r="I637" s="65"/>
      <c r="J637" s="65"/>
      <c r="K637" s="65"/>
      <c r="L637" s="65"/>
      <c r="M637" s="65"/>
      <c r="N637" s="65"/>
    </row>
    <row r="638" spans="2:14" ht="23.45" customHeight="1">
      <c r="B638" s="65"/>
      <c r="C638" s="66"/>
      <c r="D638" s="65"/>
      <c r="E638" s="65"/>
      <c r="F638" s="65"/>
      <c r="G638" s="65"/>
      <c r="H638" s="65"/>
      <c r="I638" s="65"/>
      <c r="J638" s="65"/>
      <c r="K638" s="65"/>
      <c r="L638" s="65"/>
      <c r="M638" s="65"/>
      <c r="N638" s="65"/>
    </row>
    <row r="639" spans="2:14" ht="23.45" customHeight="1">
      <c r="B639" s="65"/>
      <c r="C639" s="66"/>
      <c r="D639" s="65"/>
      <c r="E639" s="65"/>
      <c r="F639" s="65"/>
      <c r="G639" s="65"/>
      <c r="H639" s="65"/>
      <c r="I639" s="65"/>
      <c r="J639" s="65"/>
      <c r="K639" s="65"/>
      <c r="L639" s="65"/>
      <c r="M639" s="65"/>
      <c r="N639" s="65"/>
    </row>
    <row r="640" spans="2:14" ht="23.45" customHeight="1">
      <c r="B640" s="65"/>
      <c r="C640" s="66"/>
      <c r="D640" s="65"/>
      <c r="E640" s="65"/>
      <c r="F640" s="65"/>
      <c r="G640" s="65"/>
      <c r="H640" s="65"/>
      <c r="I640" s="65"/>
      <c r="J640" s="65"/>
      <c r="K640" s="65"/>
      <c r="L640" s="65"/>
      <c r="M640" s="65"/>
      <c r="N640" s="65"/>
    </row>
    <row r="641" spans="2:14" ht="23.45" customHeight="1">
      <c r="B641" s="65"/>
      <c r="C641" s="66"/>
      <c r="D641" s="65"/>
      <c r="E641" s="65"/>
      <c r="F641" s="65"/>
      <c r="G641" s="65"/>
      <c r="H641" s="65"/>
      <c r="I641" s="65"/>
      <c r="J641" s="65"/>
      <c r="K641" s="65"/>
      <c r="L641" s="65"/>
      <c r="M641" s="65"/>
      <c r="N641" s="65"/>
    </row>
    <row r="642" spans="2:14" ht="23.45" customHeight="1">
      <c r="B642" s="65"/>
      <c r="C642" s="66"/>
      <c r="D642" s="65"/>
      <c r="E642" s="65"/>
      <c r="F642" s="65"/>
      <c r="G642" s="65"/>
      <c r="H642" s="65"/>
      <c r="I642" s="65"/>
      <c r="J642" s="65"/>
      <c r="K642" s="65"/>
      <c r="L642" s="65"/>
      <c r="M642" s="65"/>
      <c r="N642" s="65"/>
    </row>
    <row r="643" spans="2:14" ht="23.45" customHeight="1">
      <c r="B643" s="65"/>
      <c r="C643" s="66"/>
      <c r="D643" s="65"/>
      <c r="E643" s="65"/>
      <c r="F643" s="65"/>
      <c r="G643" s="65"/>
      <c r="H643" s="65"/>
      <c r="I643" s="65"/>
      <c r="J643" s="65"/>
      <c r="K643" s="65"/>
      <c r="L643" s="65"/>
      <c r="M643" s="65"/>
      <c r="N643" s="65"/>
    </row>
    <row r="644" spans="2:14" ht="23.45" customHeight="1">
      <c r="B644" s="65"/>
      <c r="C644" s="66"/>
      <c r="D644" s="65"/>
      <c r="E644" s="65"/>
      <c r="F644" s="65"/>
      <c r="G644" s="65"/>
      <c r="H644" s="65"/>
      <c r="I644" s="65"/>
      <c r="J644" s="65"/>
      <c r="K644" s="65"/>
      <c r="L644" s="65"/>
      <c r="M644" s="65"/>
      <c r="N644" s="65"/>
    </row>
    <row r="645" spans="2:14" ht="23.45" customHeight="1">
      <c r="B645" s="65"/>
      <c r="C645" s="66"/>
      <c r="D645" s="65"/>
      <c r="E645" s="65"/>
      <c r="F645" s="65"/>
      <c r="G645" s="65"/>
      <c r="H645" s="65"/>
      <c r="I645" s="65"/>
      <c r="J645" s="65"/>
      <c r="K645" s="65"/>
      <c r="L645" s="65"/>
      <c r="M645" s="65"/>
      <c r="N645" s="65"/>
    </row>
    <row r="646" spans="2:14" ht="23.45" customHeight="1">
      <c r="B646" s="65"/>
      <c r="C646" s="66"/>
      <c r="D646" s="65"/>
      <c r="E646" s="65"/>
      <c r="F646" s="65"/>
      <c r="G646" s="65"/>
      <c r="H646" s="65"/>
      <c r="I646" s="65"/>
      <c r="J646" s="65"/>
      <c r="K646" s="65"/>
      <c r="L646" s="65"/>
      <c r="M646" s="65"/>
      <c r="N646" s="65"/>
    </row>
    <row r="647" spans="2:14" ht="23.45" customHeight="1">
      <c r="B647" s="65"/>
      <c r="C647" s="66"/>
      <c r="D647" s="65"/>
      <c r="E647" s="65"/>
      <c r="F647" s="65"/>
      <c r="G647" s="65"/>
      <c r="H647" s="65"/>
      <c r="I647" s="65"/>
      <c r="J647" s="65"/>
      <c r="K647" s="65"/>
      <c r="L647" s="65"/>
      <c r="M647" s="65"/>
      <c r="N647" s="65"/>
    </row>
    <row r="648" spans="2:14" ht="23.45" customHeight="1">
      <c r="B648" s="65"/>
      <c r="C648" s="66"/>
      <c r="D648" s="65"/>
      <c r="E648" s="65"/>
      <c r="F648" s="65"/>
      <c r="G648" s="65"/>
      <c r="H648" s="65"/>
      <c r="I648" s="65"/>
      <c r="J648" s="65"/>
      <c r="K648" s="65"/>
      <c r="L648" s="65"/>
      <c r="M648" s="65"/>
      <c r="N648" s="65"/>
    </row>
    <row r="649" spans="2:14" ht="23.45" customHeight="1">
      <c r="B649" s="65"/>
      <c r="C649" s="66"/>
      <c r="D649" s="65"/>
      <c r="E649" s="65"/>
      <c r="F649" s="65"/>
      <c r="G649" s="65"/>
      <c r="H649" s="65"/>
      <c r="I649" s="65"/>
      <c r="J649" s="65"/>
      <c r="K649" s="65"/>
      <c r="L649" s="65"/>
      <c r="M649" s="65"/>
      <c r="N649" s="65"/>
    </row>
    <row r="650" spans="2:14" ht="23.45" customHeight="1">
      <c r="B650" s="65"/>
      <c r="C650" s="66"/>
      <c r="D650" s="65"/>
      <c r="E650" s="65"/>
      <c r="F650" s="65"/>
      <c r="G650" s="65"/>
      <c r="H650" s="65"/>
      <c r="I650" s="65"/>
      <c r="J650" s="65"/>
      <c r="K650" s="65"/>
      <c r="L650" s="65"/>
      <c r="M650" s="65"/>
      <c r="N650" s="65"/>
    </row>
    <row r="651" spans="2:14" ht="23.45" customHeight="1">
      <c r="B651" s="65"/>
      <c r="C651" s="66"/>
      <c r="D651" s="65"/>
      <c r="E651" s="65"/>
      <c r="F651" s="65"/>
      <c r="G651" s="65"/>
      <c r="H651" s="65"/>
      <c r="I651" s="65"/>
      <c r="J651" s="65"/>
      <c r="K651" s="65"/>
      <c r="L651" s="65"/>
      <c r="M651" s="65"/>
      <c r="N651" s="65"/>
    </row>
    <row r="652" spans="2:14" ht="23.45" customHeight="1">
      <c r="B652" s="65"/>
      <c r="C652" s="66"/>
      <c r="D652" s="65"/>
      <c r="E652" s="65"/>
      <c r="F652" s="65"/>
      <c r="G652" s="65"/>
      <c r="H652" s="65"/>
      <c r="I652" s="65"/>
      <c r="J652" s="65"/>
      <c r="K652" s="65"/>
      <c r="L652" s="65"/>
      <c r="M652" s="65"/>
      <c r="N652" s="65"/>
    </row>
    <row r="653" spans="2:14" ht="23.45" customHeight="1">
      <c r="B653" s="65"/>
      <c r="C653" s="66"/>
      <c r="D653" s="65"/>
      <c r="E653" s="65"/>
      <c r="F653" s="65"/>
      <c r="G653" s="65"/>
      <c r="H653" s="65"/>
      <c r="I653" s="65"/>
      <c r="J653" s="65"/>
      <c r="K653" s="65"/>
      <c r="L653" s="65"/>
      <c r="M653" s="65"/>
      <c r="N653" s="65"/>
    </row>
    <row r="654" spans="2:14" ht="23.45" customHeight="1">
      <c r="B654" s="65"/>
      <c r="C654" s="66"/>
      <c r="D654" s="65"/>
      <c r="E654" s="65"/>
      <c r="F654" s="65"/>
      <c r="G654" s="65"/>
      <c r="H654" s="65"/>
      <c r="I654" s="65"/>
      <c r="J654" s="65"/>
      <c r="K654" s="65"/>
      <c r="L654" s="65"/>
      <c r="M654" s="65"/>
      <c r="N654" s="65"/>
    </row>
    <row r="655" spans="2:14" ht="23.45" customHeight="1">
      <c r="B655" s="65"/>
      <c r="C655" s="66"/>
      <c r="D655" s="65"/>
      <c r="E655" s="65"/>
      <c r="F655" s="65"/>
      <c r="G655" s="65"/>
      <c r="H655" s="65"/>
      <c r="I655" s="65"/>
      <c r="J655" s="65"/>
      <c r="K655" s="65"/>
      <c r="L655" s="65"/>
      <c r="M655" s="65"/>
      <c r="N655" s="65"/>
    </row>
    <row r="656" spans="2:14" ht="23.45" customHeight="1">
      <c r="B656" s="65"/>
      <c r="C656" s="66"/>
      <c r="D656" s="65"/>
      <c r="E656" s="65"/>
      <c r="F656" s="65"/>
      <c r="G656" s="65"/>
      <c r="H656" s="65"/>
      <c r="I656" s="65"/>
      <c r="J656" s="65"/>
      <c r="K656" s="65"/>
      <c r="L656" s="65"/>
      <c r="M656" s="65"/>
      <c r="N656" s="65"/>
    </row>
    <row r="657" spans="2:14" ht="23.45" customHeight="1">
      <c r="B657" s="65"/>
      <c r="C657" s="66"/>
      <c r="D657" s="65"/>
      <c r="E657" s="65"/>
      <c r="F657" s="65"/>
      <c r="G657" s="65"/>
      <c r="H657" s="65"/>
      <c r="I657" s="65"/>
      <c r="J657" s="65"/>
      <c r="K657" s="65"/>
      <c r="L657" s="65"/>
      <c r="M657" s="65"/>
      <c r="N657" s="65"/>
    </row>
    <row r="658" spans="2:14" ht="23.45" customHeight="1">
      <c r="B658" s="65"/>
      <c r="C658" s="66"/>
      <c r="D658" s="65"/>
      <c r="E658" s="65"/>
      <c r="F658" s="65"/>
      <c r="G658" s="65"/>
      <c r="H658" s="65"/>
      <c r="I658" s="65"/>
      <c r="J658" s="65"/>
      <c r="K658" s="65"/>
      <c r="L658" s="65"/>
      <c r="M658" s="65"/>
      <c r="N658" s="65"/>
    </row>
    <row r="659" spans="2:14" ht="23.45" customHeight="1">
      <c r="B659" s="65"/>
      <c r="C659" s="66"/>
      <c r="D659" s="65"/>
      <c r="E659" s="65"/>
      <c r="F659" s="65"/>
      <c r="G659" s="65"/>
      <c r="H659" s="65"/>
      <c r="I659" s="65"/>
      <c r="J659" s="65"/>
      <c r="K659" s="65"/>
      <c r="L659" s="65"/>
      <c r="M659" s="65"/>
      <c r="N659" s="65"/>
    </row>
    <row r="660" spans="2:14" ht="23.45" customHeight="1">
      <c r="B660" s="65"/>
      <c r="C660" s="66"/>
      <c r="D660" s="65"/>
      <c r="E660" s="65"/>
      <c r="F660" s="65"/>
      <c r="G660" s="65"/>
      <c r="H660" s="65"/>
      <c r="I660" s="65"/>
      <c r="J660" s="65"/>
      <c r="K660" s="65"/>
      <c r="L660" s="65"/>
      <c r="M660" s="65"/>
      <c r="N660" s="65"/>
    </row>
    <row r="661" spans="2:14" ht="23.45" customHeight="1">
      <c r="B661" s="65"/>
      <c r="C661" s="66"/>
      <c r="D661" s="65"/>
      <c r="E661" s="65"/>
      <c r="F661" s="65"/>
      <c r="G661" s="65"/>
      <c r="H661" s="65"/>
      <c r="I661" s="65"/>
      <c r="J661" s="65"/>
      <c r="K661" s="65"/>
      <c r="L661" s="65"/>
      <c r="M661" s="65"/>
      <c r="N661" s="65"/>
    </row>
    <row r="662" spans="2:14" ht="23.45" customHeight="1">
      <c r="B662" s="65"/>
      <c r="C662" s="66"/>
      <c r="D662" s="65"/>
      <c r="E662" s="65"/>
      <c r="F662" s="65"/>
      <c r="G662" s="65"/>
      <c r="H662" s="65"/>
      <c r="I662" s="65"/>
      <c r="J662" s="65"/>
      <c r="K662" s="65"/>
      <c r="L662" s="65"/>
      <c r="M662" s="65"/>
      <c r="N662" s="65"/>
    </row>
    <row r="663" spans="2:14" ht="23.45" customHeight="1">
      <c r="B663" s="65"/>
      <c r="C663" s="66"/>
      <c r="D663" s="65"/>
      <c r="E663" s="65"/>
      <c r="F663" s="65"/>
      <c r="G663" s="65"/>
      <c r="H663" s="65"/>
      <c r="I663" s="65"/>
      <c r="J663" s="65"/>
      <c r="K663" s="65"/>
      <c r="L663" s="65"/>
      <c r="M663" s="65"/>
      <c r="N663" s="65"/>
    </row>
    <row r="664" spans="2:14" ht="23.45" customHeight="1">
      <c r="B664" s="65"/>
      <c r="C664" s="66"/>
      <c r="D664" s="65"/>
      <c r="E664" s="65"/>
      <c r="F664" s="65"/>
      <c r="G664" s="65"/>
      <c r="H664" s="65"/>
      <c r="I664" s="65"/>
      <c r="J664" s="65"/>
      <c r="K664" s="65"/>
      <c r="L664" s="65"/>
      <c r="M664" s="65"/>
      <c r="N664" s="65"/>
    </row>
    <row r="665" spans="2:14" ht="23.45" customHeight="1">
      <c r="B665" s="65"/>
      <c r="C665" s="66"/>
      <c r="D665" s="65"/>
      <c r="E665" s="65"/>
      <c r="F665" s="65"/>
      <c r="G665" s="65"/>
      <c r="H665" s="65"/>
      <c r="I665" s="65"/>
      <c r="J665" s="65"/>
      <c r="K665" s="65"/>
      <c r="L665" s="65"/>
      <c r="M665" s="65"/>
      <c r="N665" s="65"/>
    </row>
    <row r="666" spans="2:14" ht="23.45" customHeight="1">
      <c r="B666" s="65"/>
      <c r="C666" s="66"/>
      <c r="D666" s="65"/>
      <c r="E666" s="65"/>
      <c r="F666" s="65"/>
      <c r="G666" s="65"/>
      <c r="H666" s="65"/>
      <c r="I666" s="65"/>
      <c r="J666" s="65"/>
      <c r="K666" s="65"/>
      <c r="L666" s="65"/>
      <c r="M666" s="65"/>
      <c r="N666" s="65"/>
    </row>
    <row r="667" spans="2:14" ht="23.45" customHeight="1">
      <c r="B667" s="65"/>
      <c r="C667" s="66"/>
      <c r="D667" s="65"/>
      <c r="E667" s="65"/>
      <c r="F667" s="65"/>
      <c r="G667" s="65"/>
      <c r="H667" s="65"/>
      <c r="I667" s="65"/>
      <c r="J667" s="65"/>
      <c r="K667" s="65"/>
      <c r="L667" s="65"/>
      <c r="M667" s="65"/>
      <c r="N667" s="65"/>
    </row>
    <row r="668" spans="2:14" ht="23.45" customHeight="1">
      <c r="B668" s="65"/>
      <c r="C668" s="66"/>
      <c r="D668" s="65"/>
      <c r="E668" s="65"/>
      <c r="F668" s="65"/>
      <c r="G668" s="65"/>
      <c r="H668" s="65"/>
      <c r="I668" s="65"/>
      <c r="J668" s="65"/>
      <c r="K668" s="65"/>
      <c r="L668" s="65"/>
      <c r="M668" s="65"/>
      <c r="N668" s="65"/>
    </row>
    <row r="669" spans="2:14" ht="23.45" customHeight="1">
      <c r="B669" s="65"/>
      <c r="C669" s="66"/>
      <c r="D669" s="65"/>
      <c r="E669" s="65"/>
      <c r="F669" s="65"/>
      <c r="G669" s="65"/>
      <c r="H669" s="65"/>
      <c r="I669" s="65"/>
      <c r="J669" s="65"/>
      <c r="K669" s="65"/>
      <c r="L669" s="65"/>
      <c r="M669" s="65"/>
      <c r="N669" s="65"/>
    </row>
    <row r="670" spans="2:14" ht="23.45" customHeight="1">
      <c r="B670" s="65"/>
      <c r="C670" s="66"/>
      <c r="D670" s="65"/>
      <c r="E670" s="65"/>
      <c r="F670" s="65"/>
      <c r="G670" s="65"/>
      <c r="H670" s="65"/>
      <c r="I670" s="65"/>
      <c r="J670" s="65"/>
      <c r="K670" s="65"/>
      <c r="L670" s="65"/>
      <c r="M670" s="65"/>
      <c r="N670" s="65"/>
    </row>
    <row r="671" spans="2:14" ht="23.45" customHeight="1">
      <c r="B671" s="65"/>
      <c r="C671" s="66"/>
      <c r="D671" s="65"/>
      <c r="E671" s="65"/>
      <c r="F671" s="65"/>
      <c r="G671" s="65"/>
      <c r="H671" s="65"/>
      <c r="I671" s="65"/>
      <c r="J671" s="65"/>
      <c r="K671" s="65"/>
      <c r="L671" s="65"/>
      <c r="M671" s="65"/>
      <c r="N671" s="65"/>
    </row>
    <row r="672" spans="2:14" ht="23.45" customHeight="1">
      <c r="B672" s="65"/>
      <c r="C672" s="66"/>
      <c r="D672" s="65"/>
      <c r="E672" s="65"/>
      <c r="F672" s="65"/>
      <c r="G672" s="65"/>
      <c r="H672" s="65"/>
      <c r="I672" s="65"/>
      <c r="J672" s="65"/>
      <c r="K672" s="65"/>
      <c r="L672" s="65"/>
      <c r="M672" s="65"/>
      <c r="N672" s="65"/>
    </row>
    <row r="673" spans="2:14" ht="23.45" customHeight="1">
      <c r="B673" s="65"/>
      <c r="C673" s="66"/>
      <c r="D673" s="65"/>
      <c r="E673" s="65"/>
      <c r="F673" s="65"/>
      <c r="G673" s="65"/>
      <c r="H673" s="65"/>
      <c r="I673" s="65"/>
      <c r="J673" s="65"/>
      <c r="K673" s="65"/>
      <c r="L673" s="65"/>
      <c r="M673" s="65"/>
      <c r="N673" s="65"/>
    </row>
    <row r="674" spans="2:14" ht="23.45" customHeight="1">
      <c r="B674" s="65"/>
      <c r="C674" s="66"/>
      <c r="D674" s="65"/>
      <c r="E674" s="65"/>
      <c r="F674" s="65"/>
      <c r="G674" s="65"/>
      <c r="H674" s="65"/>
      <c r="I674" s="65"/>
      <c r="J674" s="65"/>
      <c r="K674" s="65"/>
      <c r="L674" s="65"/>
      <c r="M674" s="65"/>
      <c r="N674" s="65"/>
    </row>
  </sheetData>
  <sheetProtection algorithmName="SHA-512" hashValue="SW5NT+Pfm68gG8AepYccMgRntZeZxhZORDTbeKDvVxrcoWjcjs5g081leqdLmztqVrUS8F6Ftz3mTF3hIm8/3g==" saltValue="jXAPXc8TxPk5mDv0ZmNpxg==" spinCount="100000" sheet="1" formatCells="0" formatColumns="0" formatRows="0" insertColumns="0" insertRows="0" insertHyperlinks="0" deleteColumns="0" deleteRows="0" sort="0"/>
  <autoFilter ref="B1:N314"/>
  <hyperlinks>
    <hyperlink ref="K312" r:id="rId1"/>
    <hyperlink ref="K311" r:id="rId2"/>
    <hyperlink ref="K310" r:id="rId3"/>
    <hyperlink ref="K309" r:id="rId4"/>
    <hyperlink ref="K313" r:id="rId5"/>
    <hyperlink ref="K314" r:id="rId6"/>
  </hyperlinks>
  <printOptions horizontalCentered="1"/>
  <pageMargins left="0" right="0" top="0" bottom="0" header="0.31496062992125984" footer="0"/>
  <pageSetup paperSize="9" scale="99" orientation="portrait" r:id="rId7"/>
  <headerFooter>
    <oddFooter>&amp;L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ورقة2">
    <tabColor theme="8"/>
  </sheetPr>
  <dimension ref="A1:AAI259"/>
  <sheetViews>
    <sheetView showGridLines="0" showRowColHeaders="0" rightToLeft="1" tabSelected="1" topLeftCell="A61" zoomScaleNormal="100" workbookViewId="0">
      <selection activeCell="DB161" sqref="DB161:DI161"/>
    </sheetView>
  </sheetViews>
  <sheetFormatPr defaultColWidth="0" defaultRowHeight="15" customHeight="1" zeroHeight="1"/>
  <cols>
    <col min="1" max="1" width="2.5703125" customWidth="1"/>
    <col min="2" max="4" width="0.7109375" customWidth="1"/>
    <col min="5" max="42" width="0.85546875" customWidth="1"/>
    <col min="43" max="43" width="0.140625" customWidth="1"/>
    <col min="44" max="44" width="0.5703125" customWidth="1"/>
    <col min="45" max="75" width="0.85546875" customWidth="1"/>
    <col min="76" max="76" width="0.7109375" customWidth="1"/>
    <col min="77" max="77" width="0.140625" customWidth="1"/>
    <col min="78" max="83" width="0.85546875" customWidth="1"/>
    <col min="84" max="84" width="0.5703125" customWidth="1"/>
    <col min="85" max="85" width="0.140625" customWidth="1"/>
    <col min="86" max="90" width="0.85546875" customWidth="1"/>
    <col min="91" max="91" width="0.5703125" customWidth="1"/>
    <col min="92" max="92" width="0.140625" customWidth="1"/>
    <col min="93" max="103" width="0.85546875" customWidth="1"/>
    <col min="104" max="104" width="0.5703125" customWidth="1"/>
    <col min="105" max="105" width="0.140625" customWidth="1"/>
    <col min="106" max="112" width="0.85546875" customWidth="1"/>
    <col min="113" max="113" width="0.5703125" customWidth="1"/>
    <col min="114" max="114" width="0.140625" customWidth="1"/>
    <col min="115" max="119" width="0.85546875" customWidth="1"/>
    <col min="120" max="123" width="0.7109375" customWidth="1"/>
    <col min="124" max="124" width="2.5703125" customWidth="1"/>
    <col min="125" max="16384" width="9" hidden="1"/>
  </cols>
  <sheetData>
    <row r="1" spans="1:175" ht="1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3"/>
      <c r="DE1" s="3"/>
      <c r="DF1" s="3"/>
      <c r="DG1" s="3"/>
      <c r="DH1" s="3"/>
      <c r="DI1" s="3"/>
      <c r="DJ1" s="3"/>
      <c r="DK1" s="4"/>
      <c r="DL1" s="4"/>
      <c r="DM1" s="4"/>
      <c r="DN1" s="4"/>
      <c r="DO1" s="4"/>
      <c r="DP1" s="4"/>
      <c r="DQ1" s="4"/>
      <c r="DR1" s="4"/>
      <c r="DS1" s="4"/>
      <c r="DT1" s="4"/>
    </row>
    <row r="2" spans="1:175" s="5" customFormat="1" ht="20.100000000000001" customHeight="1">
      <c r="BU2" s="140" t="s">
        <v>924</v>
      </c>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row>
    <row r="3" spans="1:175" s="5" customFormat="1" ht="17.45" customHeight="1">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row>
    <row r="4" spans="1:175" s="5" customFormat="1" ht="9.9499999999999993" customHeight="1">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row>
    <row r="5" spans="1:175" s="5" customFormat="1" ht="9.9499999999999993" customHeight="1">
      <c r="O5" s="141" t="s">
        <v>925</v>
      </c>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6"/>
      <c r="BR5" s="6"/>
      <c r="BS5" s="6"/>
      <c r="BT5" s="6"/>
      <c r="BU5" s="142" t="s">
        <v>926</v>
      </c>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c r="CY5" s="142"/>
      <c r="CZ5" s="142"/>
      <c r="DA5" s="142"/>
      <c r="DB5" s="142"/>
      <c r="DC5" s="142"/>
      <c r="DD5" s="142"/>
      <c r="DE5" s="142"/>
      <c r="DF5" s="142"/>
      <c r="DG5" s="142"/>
      <c r="DH5" s="142"/>
      <c r="DI5" s="142"/>
      <c r="DJ5" s="142"/>
      <c r="DK5" s="142"/>
      <c r="DL5" s="142"/>
      <c r="DM5" s="142"/>
      <c r="DN5" s="142"/>
      <c r="DO5" s="142"/>
      <c r="DP5" s="142"/>
      <c r="DQ5" s="142"/>
      <c r="DR5" s="142"/>
      <c r="DS5" s="142"/>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row>
    <row r="6" spans="1:175" s="5" customFormat="1" ht="20.100000000000001" customHeight="1">
      <c r="O6" s="141"/>
      <c r="P6" s="141"/>
      <c r="Q6" s="141"/>
      <c r="R6" s="141"/>
      <c r="S6" s="141"/>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6"/>
      <c r="BR6" s="6"/>
      <c r="BS6" s="6"/>
      <c r="BT6" s="6"/>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c r="CS6" s="142"/>
      <c r="CT6" s="142"/>
      <c r="CU6" s="142"/>
      <c r="CV6" s="142"/>
      <c r="CW6" s="142"/>
      <c r="CX6" s="142"/>
      <c r="CY6" s="142"/>
      <c r="CZ6" s="142"/>
      <c r="DA6" s="142"/>
      <c r="DB6" s="142"/>
      <c r="DC6" s="142"/>
      <c r="DD6" s="142"/>
      <c r="DE6" s="142"/>
      <c r="DF6" s="142"/>
      <c r="DG6" s="142"/>
      <c r="DH6" s="142"/>
      <c r="DI6" s="142"/>
      <c r="DJ6" s="142"/>
      <c r="DK6" s="142"/>
      <c r="DL6" s="142"/>
      <c r="DM6" s="142"/>
      <c r="DN6" s="142"/>
      <c r="DO6" s="142"/>
      <c r="DP6" s="142"/>
      <c r="DQ6" s="142"/>
      <c r="DR6" s="142"/>
      <c r="DS6" s="142"/>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row>
    <row r="7" spans="1:175" s="5" customFormat="1" ht="2.4500000000000002" customHeight="1">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6"/>
      <c r="BO7" s="6"/>
      <c r="BP7" s="6"/>
      <c r="BQ7" s="6"/>
      <c r="BR7" s="6"/>
      <c r="BS7" s="6"/>
      <c r="BT7" s="6"/>
      <c r="BU7" s="6"/>
      <c r="BV7" s="6"/>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row>
    <row r="8" spans="1:175" s="5" customFormat="1" ht="2.1" customHeight="1" thickBot="1">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DK8" s="8"/>
      <c r="DL8" s="8"/>
      <c r="DM8" s="8"/>
      <c r="DN8" s="8"/>
      <c r="DO8" s="8"/>
      <c r="DP8" s="9"/>
      <c r="DQ8" s="9"/>
      <c r="DR8" s="9"/>
      <c r="DS8" s="9"/>
    </row>
    <row r="9" spans="1:175" s="5" customFormat="1" ht="5.0999999999999996" customHeight="1" thickTop="1">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row>
    <row r="10" spans="1:175" s="5" customFormat="1" ht="15" customHeight="1">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row>
    <row r="11" spans="1:175" s="5" customFormat="1" ht="42" customHeight="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row>
    <row r="12" spans="1:175" s="17" customFormat="1" ht="15" customHeight="1">
      <c r="A12" s="14"/>
      <c r="B12" s="11"/>
      <c r="C12" s="15"/>
      <c r="D12" s="15"/>
      <c r="E12" s="15"/>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24"/>
      <c r="DP12" s="15"/>
      <c r="DQ12" s="15"/>
      <c r="DR12" s="15"/>
      <c r="DS12" s="12"/>
      <c r="DT12" s="16"/>
    </row>
    <row r="13" spans="1:175" ht="5.0999999999999996" customHeight="1" thickBot="1">
      <c r="A13" s="12"/>
      <c r="B13" s="18"/>
      <c r="C13" s="19"/>
      <c r="D13" s="19"/>
      <c r="E13" s="19"/>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19"/>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19"/>
      <c r="DQ13" s="19"/>
      <c r="DR13" s="19"/>
      <c r="DS13" s="12"/>
      <c r="DT13" s="13"/>
    </row>
    <row r="14" spans="1:175" ht="30" customHeight="1" thickTop="1" thickBot="1">
      <c r="A14" s="12"/>
      <c r="B14" s="18"/>
      <c r="C14" s="19"/>
      <c r="D14" s="19"/>
      <c r="E14" s="19"/>
      <c r="F14" s="133" t="s">
        <v>927</v>
      </c>
      <c r="G14" s="133"/>
      <c r="H14" s="133"/>
      <c r="I14" s="133"/>
      <c r="J14" s="133"/>
      <c r="K14" s="133"/>
      <c r="L14" s="133"/>
      <c r="M14" s="133"/>
      <c r="N14" s="133"/>
      <c r="O14" s="133"/>
      <c r="P14" s="133"/>
      <c r="Q14" s="133"/>
      <c r="R14" s="133"/>
      <c r="S14" s="133"/>
      <c r="T14" s="133"/>
      <c r="U14" s="133"/>
      <c r="V14" s="133"/>
      <c r="W14" s="134">
        <v>23426</v>
      </c>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6"/>
      <c r="BQ14" s="20"/>
      <c r="BR14" s="19"/>
      <c r="BS14" s="133" t="s">
        <v>12</v>
      </c>
      <c r="BT14" s="133"/>
      <c r="BU14" s="133"/>
      <c r="BV14" s="133"/>
      <c r="BW14" s="133"/>
      <c r="BX14" s="133"/>
      <c r="BY14" s="133"/>
      <c r="BZ14" s="133"/>
      <c r="CA14" s="133"/>
      <c r="CB14" s="133"/>
      <c r="CC14" s="133"/>
      <c r="CD14" s="133"/>
      <c r="CE14" s="133"/>
      <c r="CF14" s="133"/>
      <c r="CG14" s="133"/>
      <c r="CH14" s="133"/>
      <c r="CI14" s="133"/>
      <c r="CJ14" s="134">
        <v>5</v>
      </c>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6"/>
      <c r="DO14" s="20"/>
      <c r="DP14" s="19"/>
      <c r="DQ14" s="19"/>
      <c r="DR14" s="19"/>
      <c r="DS14" s="12"/>
      <c r="DT14" s="13"/>
    </row>
    <row r="15" spans="1:175" ht="5.0999999999999996" customHeight="1" thickTop="1">
      <c r="A15" s="12"/>
      <c r="B15" s="18"/>
      <c r="C15" s="19"/>
      <c r="D15" s="19"/>
      <c r="E15" s="19"/>
      <c r="F15" s="53"/>
      <c r="G15" s="53"/>
      <c r="H15" s="53"/>
      <c r="I15" s="53"/>
      <c r="J15" s="53"/>
      <c r="K15" s="53"/>
      <c r="L15" s="53"/>
      <c r="M15" s="53"/>
      <c r="N15" s="53"/>
      <c r="O15" s="53"/>
      <c r="P15" s="53"/>
      <c r="Q15" s="53"/>
      <c r="R15" s="53"/>
      <c r="S15" s="53"/>
      <c r="T15" s="53"/>
      <c r="U15" s="53"/>
      <c r="V15" s="53"/>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19"/>
      <c r="BS15" s="55"/>
      <c r="BT15" s="55"/>
      <c r="BU15" s="55"/>
      <c r="BV15" s="55"/>
      <c r="BW15" s="55"/>
      <c r="BX15" s="55"/>
      <c r="BY15" s="55"/>
      <c r="BZ15" s="55"/>
      <c r="CA15" s="55"/>
      <c r="CB15" s="55"/>
      <c r="CC15" s="55"/>
      <c r="CD15" s="55"/>
      <c r="CE15" s="55"/>
      <c r="CF15" s="55"/>
      <c r="CG15" s="55"/>
      <c r="CH15" s="55"/>
      <c r="CI15" s="55"/>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19"/>
      <c r="DQ15" s="19"/>
      <c r="DR15" s="19"/>
      <c r="DS15" s="12"/>
      <c r="DT15" s="13"/>
    </row>
    <row r="16" spans="1:175" ht="5.0999999999999996" customHeight="1">
      <c r="A16" s="12"/>
      <c r="B16" s="18"/>
      <c r="C16" s="19"/>
      <c r="D16" s="19"/>
      <c r="E16" s="19"/>
      <c r="F16" s="54"/>
      <c r="G16" s="54"/>
      <c r="H16" s="54"/>
      <c r="I16" s="54"/>
      <c r="J16" s="54"/>
      <c r="K16" s="54"/>
      <c r="L16" s="54"/>
      <c r="M16" s="54"/>
      <c r="N16" s="54"/>
      <c r="O16" s="54"/>
      <c r="P16" s="54"/>
      <c r="Q16" s="54"/>
      <c r="R16" s="54"/>
      <c r="S16" s="54"/>
      <c r="T16" s="54"/>
      <c r="U16" s="54"/>
      <c r="V16" s="54"/>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56"/>
      <c r="BT16" s="56"/>
      <c r="BU16" s="56"/>
      <c r="BV16" s="56"/>
      <c r="BW16" s="56"/>
      <c r="BX16" s="56"/>
      <c r="BY16" s="56"/>
      <c r="BZ16" s="56"/>
      <c r="CA16" s="56"/>
      <c r="CB16" s="56"/>
      <c r="CC16" s="56"/>
      <c r="CD16" s="56"/>
      <c r="CE16" s="56"/>
      <c r="CF16" s="56"/>
      <c r="CG16" s="56"/>
      <c r="CH16" s="56"/>
      <c r="CI16" s="56"/>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2"/>
      <c r="DT16" s="13"/>
    </row>
    <row r="17" spans="1:711" ht="5.0999999999999996" customHeight="1" thickBot="1">
      <c r="A17" s="12"/>
      <c r="B17" s="18"/>
      <c r="C17" s="19"/>
      <c r="D17" s="19"/>
      <c r="E17" s="19"/>
      <c r="F17" s="53"/>
      <c r="G17" s="53"/>
      <c r="H17" s="53"/>
      <c r="I17" s="53"/>
      <c r="J17" s="53"/>
      <c r="K17" s="53"/>
      <c r="L17" s="53"/>
      <c r="M17" s="53"/>
      <c r="N17" s="53"/>
      <c r="O17" s="53"/>
      <c r="P17" s="53"/>
      <c r="Q17" s="53"/>
      <c r="R17" s="53"/>
      <c r="S17" s="53"/>
      <c r="T17" s="53"/>
      <c r="U17" s="53"/>
      <c r="V17" s="53"/>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19"/>
      <c r="BS17" s="55"/>
      <c r="BT17" s="55"/>
      <c r="BU17" s="55"/>
      <c r="BV17" s="55"/>
      <c r="BW17" s="55"/>
      <c r="BX17" s="55"/>
      <c r="BY17" s="55"/>
      <c r="BZ17" s="55"/>
      <c r="CA17" s="55"/>
      <c r="CB17" s="55"/>
      <c r="CC17" s="55"/>
      <c r="CD17" s="55"/>
      <c r="CE17" s="55"/>
      <c r="CF17" s="55"/>
      <c r="CG17" s="55"/>
      <c r="CH17" s="55"/>
      <c r="CI17" s="55"/>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19"/>
      <c r="DQ17" s="19"/>
      <c r="DR17" s="19"/>
      <c r="DS17" s="12"/>
      <c r="DT17" s="13"/>
    </row>
    <row r="18" spans="1:711" ht="30" customHeight="1" thickTop="1" thickBot="1">
      <c r="A18" s="12"/>
      <c r="B18" s="18"/>
      <c r="C18" s="19"/>
      <c r="D18" s="19"/>
      <c r="E18" s="19"/>
      <c r="F18" s="133" t="s">
        <v>928</v>
      </c>
      <c r="G18" s="133"/>
      <c r="H18" s="133"/>
      <c r="I18" s="133"/>
      <c r="J18" s="133"/>
      <c r="K18" s="133"/>
      <c r="L18" s="133"/>
      <c r="M18" s="133"/>
      <c r="N18" s="133"/>
      <c r="O18" s="133"/>
      <c r="P18" s="133"/>
      <c r="Q18" s="133"/>
      <c r="R18" s="133"/>
      <c r="S18" s="133"/>
      <c r="T18" s="133"/>
      <c r="U18" s="133"/>
      <c r="V18" s="133"/>
      <c r="W18" s="134" t="s">
        <v>929</v>
      </c>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6"/>
      <c r="BQ18" s="20"/>
      <c r="BR18" s="19"/>
      <c r="BS18" s="133" t="s">
        <v>13</v>
      </c>
      <c r="BT18" s="133"/>
      <c r="BU18" s="133"/>
      <c r="BV18" s="133"/>
      <c r="BW18" s="133"/>
      <c r="BX18" s="133"/>
      <c r="BY18" s="133"/>
      <c r="BZ18" s="133"/>
      <c r="CA18" s="133"/>
      <c r="CB18" s="133"/>
      <c r="CC18" s="133"/>
      <c r="CD18" s="133"/>
      <c r="CE18" s="133"/>
      <c r="CF18" s="133"/>
      <c r="CG18" s="133"/>
      <c r="CH18" s="133"/>
      <c r="CI18" s="133"/>
      <c r="CJ18" s="134">
        <v>316</v>
      </c>
      <c r="CK18" s="135"/>
      <c r="CL18" s="135"/>
      <c r="CM18" s="135"/>
      <c r="CN18" s="135"/>
      <c r="CO18" s="135"/>
      <c r="CP18" s="135"/>
      <c r="CQ18" s="135"/>
      <c r="CR18" s="135"/>
      <c r="CS18" s="135"/>
      <c r="CT18" s="135"/>
      <c r="CU18" s="135"/>
      <c r="CV18" s="135"/>
      <c r="CW18" s="135"/>
      <c r="CX18" s="135"/>
      <c r="CY18" s="135"/>
      <c r="CZ18" s="135"/>
      <c r="DA18" s="135"/>
      <c r="DB18" s="135"/>
      <c r="DC18" s="135"/>
      <c r="DD18" s="135"/>
      <c r="DE18" s="135"/>
      <c r="DF18" s="135"/>
      <c r="DG18" s="135"/>
      <c r="DH18" s="135"/>
      <c r="DI18" s="135"/>
      <c r="DJ18" s="135"/>
      <c r="DK18" s="135"/>
      <c r="DL18" s="135"/>
      <c r="DM18" s="135"/>
      <c r="DN18" s="136"/>
      <c r="DO18" s="20"/>
      <c r="DP18" s="19"/>
      <c r="DQ18" s="19"/>
      <c r="DR18" s="19"/>
      <c r="DS18" s="12"/>
      <c r="DT18" s="13"/>
    </row>
    <row r="19" spans="1:711" ht="5.0999999999999996" customHeight="1" thickTop="1">
      <c r="A19" s="12"/>
      <c r="B19" s="18"/>
      <c r="C19" s="19"/>
      <c r="D19" s="19"/>
      <c r="E19" s="19"/>
      <c r="F19" s="53"/>
      <c r="G19" s="53"/>
      <c r="H19" s="53"/>
      <c r="I19" s="53"/>
      <c r="J19" s="53"/>
      <c r="K19" s="53"/>
      <c r="L19" s="53"/>
      <c r="M19" s="53"/>
      <c r="N19" s="53"/>
      <c r="O19" s="53"/>
      <c r="P19" s="53"/>
      <c r="Q19" s="53"/>
      <c r="R19" s="53"/>
      <c r="S19" s="53"/>
      <c r="T19" s="53"/>
      <c r="U19" s="53"/>
      <c r="V19" s="53"/>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19"/>
      <c r="BS19" s="55"/>
      <c r="BT19" s="55"/>
      <c r="BU19" s="55"/>
      <c r="BV19" s="55"/>
      <c r="BW19" s="55"/>
      <c r="BX19" s="55"/>
      <c r="BY19" s="55"/>
      <c r="BZ19" s="55"/>
      <c r="CA19" s="55"/>
      <c r="CB19" s="55"/>
      <c r="CC19" s="55"/>
      <c r="CD19" s="55"/>
      <c r="CE19" s="55"/>
      <c r="CF19" s="55"/>
      <c r="CG19" s="55"/>
      <c r="CH19" s="55"/>
      <c r="CI19" s="55"/>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19"/>
      <c r="DQ19" s="19"/>
      <c r="DR19" s="19"/>
      <c r="DS19" s="12"/>
      <c r="DT19" s="13"/>
    </row>
    <row r="20" spans="1:711" ht="5.0999999999999996" customHeight="1">
      <c r="A20" s="12"/>
      <c r="B20" s="18"/>
      <c r="C20" s="19"/>
      <c r="D20" s="19"/>
      <c r="E20" s="19"/>
      <c r="F20" s="54"/>
      <c r="G20" s="54"/>
      <c r="H20" s="54"/>
      <c r="I20" s="54"/>
      <c r="J20" s="54"/>
      <c r="K20" s="54"/>
      <c r="L20" s="54"/>
      <c r="M20" s="54"/>
      <c r="N20" s="54"/>
      <c r="O20" s="54"/>
      <c r="P20" s="54"/>
      <c r="Q20" s="54"/>
      <c r="R20" s="54"/>
      <c r="S20" s="54"/>
      <c r="T20" s="54"/>
      <c r="U20" s="54"/>
      <c r="V20" s="54"/>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56"/>
      <c r="BT20" s="56"/>
      <c r="BU20" s="56"/>
      <c r="BV20" s="56"/>
      <c r="BW20" s="56"/>
      <c r="BX20" s="56"/>
      <c r="BY20" s="56"/>
      <c r="BZ20" s="56"/>
      <c r="CA20" s="56"/>
      <c r="CB20" s="56"/>
      <c r="CC20" s="56"/>
      <c r="CD20" s="56"/>
      <c r="CE20" s="56"/>
      <c r="CF20" s="56"/>
      <c r="CG20" s="56"/>
      <c r="CH20" s="56"/>
      <c r="CI20" s="56"/>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2"/>
      <c r="DT20" s="13"/>
    </row>
    <row r="21" spans="1:711" ht="5.0999999999999996" customHeight="1" thickBot="1">
      <c r="A21" s="12"/>
      <c r="B21" s="18"/>
      <c r="C21" s="19"/>
      <c r="D21" s="19"/>
      <c r="E21" s="19"/>
      <c r="F21" s="53"/>
      <c r="G21" s="53"/>
      <c r="H21" s="53"/>
      <c r="I21" s="53"/>
      <c r="J21" s="53"/>
      <c r="K21" s="53"/>
      <c r="L21" s="53"/>
      <c r="M21" s="53"/>
      <c r="N21" s="53"/>
      <c r="O21" s="53"/>
      <c r="P21" s="53"/>
      <c r="Q21" s="53"/>
      <c r="R21" s="53"/>
      <c r="S21" s="53"/>
      <c r="T21" s="53"/>
      <c r="U21" s="53"/>
      <c r="V21" s="53"/>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19"/>
      <c r="BS21" s="55"/>
      <c r="BT21" s="55"/>
      <c r="BU21" s="55"/>
      <c r="BV21" s="55"/>
      <c r="BW21" s="55"/>
      <c r="BX21" s="55"/>
      <c r="BY21" s="55"/>
      <c r="BZ21" s="55"/>
      <c r="CA21" s="55"/>
      <c r="CB21" s="55"/>
      <c r="CC21" s="55"/>
      <c r="CD21" s="55"/>
      <c r="CE21" s="55"/>
      <c r="CF21" s="55"/>
      <c r="CG21" s="55"/>
      <c r="CH21" s="55"/>
      <c r="CI21" s="55"/>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19"/>
      <c r="DQ21" s="19"/>
      <c r="DR21" s="19"/>
      <c r="DS21" s="12"/>
      <c r="DT21" s="13"/>
    </row>
    <row r="22" spans="1:711" ht="30" customHeight="1" thickTop="1" thickBot="1">
      <c r="A22" s="12"/>
      <c r="B22" s="18"/>
      <c r="C22" s="19"/>
      <c r="D22" s="19"/>
      <c r="E22" s="19"/>
      <c r="F22" s="133" t="s">
        <v>930</v>
      </c>
      <c r="G22" s="133"/>
      <c r="H22" s="133"/>
      <c r="I22" s="133"/>
      <c r="J22" s="133"/>
      <c r="K22" s="133"/>
      <c r="L22" s="133"/>
      <c r="M22" s="133"/>
      <c r="N22" s="133"/>
      <c r="O22" s="133"/>
      <c r="P22" s="133"/>
      <c r="Q22" s="133"/>
      <c r="R22" s="133"/>
      <c r="S22" s="133"/>
      <c r="T22" s="133"/>
      <c r="U22" s="133"/>
      <c r="V22" s="133"/>
      <c r="W22" s="134" t="s">
        <v>931</v>
      </c>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5"/>
      <c r="BJ22" s="135"/>
      <c r="BK22" s="135"/>
      <c r="BL22" s="135"/>
      <c r="BM22" s="135"/>
      <c r="BN22" s="135"/>
      <c r="BO22" s="135"/>
      <c r="BP22" s="136"/>
      <c r="BQ22" s="20"/>
      <c r="BR22" s="19"/>
      <c r="BS22" s="133" t="s">
        <v>932</v>
      </c>
      <c r="BT22" s="133"/>
      <c r="BU22" s="133"/>
      <c r="BV22" s="133"/>
      <c r="BW22" s="133"/>
      <c r="BX22" s="133"/>
      <c r="BY22" s="133"/>
      <c r="BZ22" s="133"/>
      <c r="CA22" s="133"/>
      <c r="CB22" s="133"/>
      <c r="CC22" s="133"/>
      <c r="CD22" s="133"/>
      <c r="CE22" s="133"/>
      <c r="CF22" s="133"/>
      <c r="CG22" s="133"/>
      <c r="CH22" s="133"/>
      <c r="CI22" s="137"/>
      <c r="CJ22" s="138" t="s">
        <v>933</v>
      </c>
      <c r="CK22" s="135"/>
      <c r="CL22" s="135"/>
      <c r="CM22" s="135"/>
      <c r="CN22" s="135"/>
      <c r="CO22" s="135"/>
      <c r="CP22" s="135"/>
      <c r="CQ22" s="135"/>
      <c r="CR22" s="135"/>
      <c r="CS22" s="135"/>
      <c r="CT22" s="135"/>
      <c r="CU22" s="135"/>
      <c r="CV22" s="135"/>
      <c r="CW22" s="135"/>
      <c r="CX22" s="135"/>
      <c r="CY22" s="135"/>
      <c r="CZ22" s="135"/>
      <c r="DA22" s="135"/>
      <c r="DB22" s="135"/>
      <c r="DC22" s="135"/>
      <c r="DD22" s="135"/>
      <c r="DE22" s="135"/>
      <c r="DF22" s="135"/>
      <c r="DG22" s="135"/>
      <c r="DH22" s="135"/>
      <c r="DI22" s="135"/>
      <c r="DJ22" s="135"/>
      <c r="DK22" s="135"/>
      <c r="DL22" s="135"/>
      <c r="DM22" s="135"/>
      <c r="DN22" s="136"/>
      <c r="DO22" s="20"/>
      <c r="DP22" s="19"/>
      <c r="DQ22" s="19"/>
      <c r="DR22" s="19"/>
      <c r="DS22" s="12"/>
      <c r="DT22" s="13"/>
    </row>
    <row r="23" spans="1:711" ht="5.0999999999999996" customHeight="1" thickTop="1">
      <c r="A23" s="12"/>
      <c r="B23" s="18"/>
      <c r="C23" s="19"/>
      <c r="D23" s="19"/>
      <c r="E23" s="19"/>
      <c r="F23" s="53"/>
      <c r="G23" s="53"/>
      <c r="H23" s="53"/>
      <c r="I23" s="53"/>
      <c r="J23" s="53"/>
      <c r="K23" s="53"/>
      <c r="L23" s="53"/>
      <c r="M23" s="53"/>
      <c r="N23" s="53"/>
      <c r="O23" s="53"/>
      <c r="P23" s="53"/>
      <c r="Q23" s="53"/>
      <c r="R23" s="53"/>
      <c r="S23" s="53"/>
      <c r="T23" s="53"/>
      <c r="U23" s="53"/>
      <c r="V23" s="53"/>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19"/>
      <c r="BS23" s="55"/>
      <c r="BT23" s="55"/>
      <c r="BU23" s="55"/>
      <c r="BV23" s="55"/>
      <c r="BW23" s="55"/>
      <c r="BX23" s="55"/>
      <c r="BY23" s="55"/>
      <c r="BZ23" s="55"/>
      <c r="CA23" s="55"/>
      <c r="CB23" s="55"/>
      <c r="CC23" s="55"/>
      <c r="CD23" s="55"/>
      <c r="CE23" s="55"/>
      <c r="CF23" s="55"/>
      <c r="CG23" s="55"/>
      <c r="CH23" s="55"/>
      <c r="CI23" s="55"/>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19"/>
      <c r="DQ23" s="19"/>
      <c r="DR23" s="19"/>
      <c r="DS23" s="12"/>
      <c r="DT23" s="13"/>
    </row>
    <row r="24" spans="1:711" ht="15" customHeight="1">
      <c r="A24" s="12"/>
      <c r="B24" s="18"/>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2"/>
      <c r="DT24" s="13"/>
    </row>
    <row r="25" spans="1:711" ht="5.0999999999999996"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3"/>
    </row>
    <row r="26" spans="1:711"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3"/>
    </row>
    <row r="27" spans="1:711" s="5" customFormat="1" ht="42" customHeight="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row>
    <row r="28" spans="1:711" ht="15" customHeight="1">
      <c r="A28" s="12"/>
      <c r="B28" s="18"/>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2"/>
      <c r="DT28" s="13"/>
    </row>
    <row r="29" spans="1:711" ht="5.0999999999999996" customHeight="1">
      <c r="A29" s="12"/>
      <c r="B29" s="18"/>
      <c r="C29" s="19"/>
      <c r="D29" s="19"/>
      <c r="E29" s="19"/>
      <c r="F29" s="72"/>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5"/>
      <c r="DP29" s="19"/>
      <c r="DQ29" s="19"/>
      <c r="DR29" s="19"/>
      <c r="DS29" s="12"/>
      <c r="DT29" s="13"/>
    </row>
    <row r="30" spans="1:711" ht="5.0999999999999996" customHeight="1">
      <c r="A30" s="12"/>
      <c r="B30" s="18"/>
      <c r="C30" s="19"/>
      <c r="D30" s="19"/>
      <c r="E30" s="19"/>
      <c r="F30" s="73"/>
      <c r="G30" s="143" t="s">
        <v>934</v>
      </c>
      <c r="H30" s="144"/>
      <c r="I30" s="144"/>
      <c r="J30" s="144"/>
      <c r="K30" s="144"/>
      <c r="L30" s="144"/>
      <c r="M30" s="144"/>
      <c r="N30" s="144"/>
      <c r="O30" s="144"/>
      <c r="P30" s="144"/>
      <c r="Q30" s="144"/>
      <c r="R30" s="144"/>
      <c r="S30" s="144"/>
      <c r="T30" s="144"/>
      <c r="U30" s="144"/>
      <c r="V30" s="145"/>
      <c r="W30" s="19"/>
      <c r="X30" s="97"/>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40"/>
      <c r="DO30" s="76"/>
      <c r="DP30" s="19"/>
      <c r="DQ30" s="19"/>
      <c r="DR30" s="19"/>
      <c r="DS30" s="13"/>
    </row>
    <row r="31" spans="1:711" ht="12" customHeight="1">
      <c r="A31" s="12"/>
      <c r="B31" s="18"/>
      <c r="C31" s="19"/>
      <c r="D31" s="19"/>
      <c r="E31" s="19"/>
      <c r="F31" s="73"/>
      <c r="G31" s="146"/>
      <c r="H31" s="147"/>
      <c r="I31" s="147"/>
      <c r="J31" s="147"/>
      <c r="K31" s="147"/>
      <c r="L31" s="147"/>
      <c r="M31" s="147"/>
      <c r="N31" s="147"/>
      <c r="O31" s="147"/>
      <c r="P31" s="147"/>
      <c r="Q31" s="147"/>
      <c r="R31" s="147"/>
      <c r="S31" s="147"/>
      <c r="T31" s="147"/>
      <c r="U31" s="147"/>
      <c r="V31" s="148"/>
      <c r="W31" s="19"/>
      <c r="X31" s="98"/>
      <c r="Y31" s="69"/>
      <c r="Z31" s="69"/>
      <c r="AA31" s="69"/>
      <c r="AB31" s="69"/>
      <c r="AC31" s="69"/>
      <c r="AD31" s="69"/>
      <c r="AE31" s="23"/>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c r="DI31" s="69"/>
      <c r="DJ31" s="69"/>
      <c r="DK31" s="69"/>
      <c r="DL31" s="69"/>
      <c r="DM31" s="69"/>
      <c r="DN31" s="34"/>
      <c r="DO31" s="76"/>
      <c r="DP31" s="19"/>
      <c r="DQ31" s="19"/>
      <c r="DR31" s="19"/>
      <c r="DS31" s="13"/>
      <c r="AAI31" s="88" t="b">
        <v>1</v>
      </c>
    </row>
    <row r="32" spans="1:711" ht="20.100000000000001" customHeight="1">
      <c r="A32" s="12"/>
      <c r="B32" s="18"/>
      <c r="C32" s="19"/>
      <c r="D32" s="19"/>
      <c r="E32" s="19"/>
      <c r="F32" s="73"/>
      <c r="G32" s="146"/>
      <c r="H32" s="147"/>
      <c r="I32" s="147"/>
      <c r="J32" s="147"/>
      <c r="K32" s="147"/>
      <c r="L32" s="147"/>
      <c r="M32" s="147"/>
      <c r="N32" s="147"/>
      <c r="O32" s="147"/>
      <c r="P32" s="147"/>
      <c r="Q32" s="147"/>
      <c r="R32" s="147"/>
      <c r="S32" s="147"/>
      <c r="T32" s="147"/>
      <c r="U32" s="147"/>
      <c r="V32" s="148"/>
      <c r="W32" s="19"/>
      <c r="X32" s="98"/>
      <c r="Y32" s="69"/>
      <c r="Z32" s="69"/>
      <c r="AA32" s="26"/>
      <c r="AB32" s="69"/>
      <c r="AC32" s="69"/>
      <c r="AD32" s="69"/>
      <c r="AE32" s="23"/>
      <c r="AF32" s="69"/>
      <c r="AG32" s="128" t="s">
        <v>935</v>
      </c>
      <c r="AH32" s="128"/>
      <c r="AI32" s="152" t="str">
        <f>IF($AAI$31=TRUE,$CJ$22,IF($AAI$31=FALSE,"",""))</f>
        <v>basim.a@tvtc.gov.sa</v>
      </c>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69" t="s">
        <v>936</v>
      </c>
      <c r="BJ32" s="69"/>
      <c r="BK32" s="70" t="s">
        <v>937</v>
      </c>
      <c r="BL32" s="69"/>
      <c r="BM32" s="69"/>
      <c r="BN32" s="69"/>
      <c r="BO32" s="69"/>
      <c r="BP32" s="69"/>
      <c r="BQ32" s="69"/>
      <c r="BR32" s="69"/>
      <c r="BS32" s="69"/>
      <c r="BT32" s="69"/>
      <c r="BU32" s="69"/>
      <c r="BV32" s="69"/>
      <c r="BW32" s="69"/>
      <c r="BX32" s="69"/>
      <c r="BY32" s="69"/>
      <c r="BZ32" s="69"/>
      <c r="CA32" s="69"/>
      <c r="CB32" s="69"/>
      <c r="CC32" s="69"/>
      <c r="CD32" s="70" t="s">
        <v>937</v>
      </c>
      <c r="CE32" s="69"/>
      <c r="CF32" s="69"/>
      <c r="CG32" s="69"/>
      <c r="CH32" s="69"/>
      <c r="CI32" s="69"/>
      <c r="CJ32" s="69"/>
      <c r="CK32" s="69"/>
      <c r="CL32" s="69"/>
      <c r="CM32" s="69"/>
      <c r="CN32" s="69"/>
      <c r="CO32" s="130" t="s">
        <v>935</v>
      </c>
      <c r="CP32" s="130"/>
      <c r="CQ32" s="130"/>
      <c r="CR32" s="139" t="s">
        <v>938</v>
      </c>
      <c r="CS32" s="139"/>
      <c r="CT32" s="139"/>
      <c r="CU32" s="139"/>
      <c r="CV32" s="139"/>
      <c r="CW32" s="139"/>
      <c r="CX32" s="139"/>
      <c r="CY32" s="139"/>
      <c r="CZ32" s="139"/>
      <c r="DA32" s="139"/>
      <c r="DB32" s="139"/>
      <c r="DC32" s="139"/>
      <c r="DD32" s="139"/>
      <c r="DE32" s="139"/>
      <c r="DF32" s="139"/>
      <c r="DG32" s="139"/>
      <c r="DH32" s="139"/>
      <c r="DI32" s="139"/>
      <c r="DJ32" s="139"/>
      <c r="DK32" s="139"/>
      <c r="DL32" s="153" t="s">
        <v>936</v>
      </c>
      <c r="DM32" s="153"/>
      <c r="DN32" s="34"/>
      <c r="DO32" s="76"/>
      <c r="DP32" s="19"/>
      <c r="DQ32" s="19"/>
      <c r="DR32" s="19"/>
      <c r="DS32" s="13"/>
    </row>
    <row r="33" spans="1:124" ht="12" customHeight="1">
      <c r="A33" s="12"/>
      <c r="B33" s="18"/>
      <c r="C33" s="19"/>
      <c r="D33" s="19"/>
      <c r="E33" s="19"/>
      <c r="F33" s="73"/>
      <c r="G33" s="146"/>
      <c r="H33" s="147"/>
      <c r="I33" s="147"/>
      <c r="J33" s="147"/>
      <c r="K33" s="147"/>
      <c r="L33" s="147"/>
      <c r="M33" s="147"/>
      <c r="N33" s="147"/>
      <c r="O33" s="147"/>
      <c r="P33" s="147"/>
      <c r="Q33" s="147"/>
      <c r="R33" s="147"/>
      <c r="S33" s="147"/>
      <c r="T33" s="147"/>
      <c r="U33" s="147"/>
      <c r="V33" s="148"/>
      <c r="W33" s="19"/>
      <c r="X33" s="98"/>
      <c r="Y33" s="69"/>
      <c r="Z33" s="69"/>
      <c r="AA33" s="26"/>
      <c r="AB33" s="69"/>
      <c r="AC33" s="69"/>
      <c r="AD33" s="69"/>
      <c r="AE33" s="23"/>
      <c r="AF33" s="69"/>
      <c r="AG33" s="69"/>
      <c r="AH33" s="69"/>
      <c r="AI33" s="26"/>
      <c r="AJ33" s="26"/>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26"/>
      <c r="DC33" s="69"/>
      <c r="DD33" s="69"/>
      <c r="DE33" s="69"/>
      <c r="DF33" s="69"/>
      <c r="DG33" s="69"/>
      <c r="DH33" s="69"/>
      <c r="DI33" s="26"/>
      <c r="DJ33" s="26"/>
      <c r="DK33" s="69"/>
      <c r="DL33" s="69"/>
      <c r="DM33" s="69"/>
      <c r="DN33" s="34"/>
      <c r="DO33" s="76"/>
      <c r="DP33" s="19"/>
      <c r="DQ33" s="19"/>
      <c r="DR33" s="19"/>
      <c r="DS33" s="13"/>
    </row>
    <row r="34" spans="1:124" ht="5.0999999999999996" customHeight="1">
      <c r="A34" s="12"/>
      <c r="B34" s="18"/>
      <c r="C34" s="19"/>
      <c r="D34" s="19"/>
      <c r="E34" s="19"/>
      <c r="F34" s="73"/>
      <c r="G34" s="146"/>
      <c r="H34" s="147"/>
      <c r="I34" s="147"/>
      <c r="J34" s="147"/>
      <c r="K34" s="147"/>
      <c r="L34" s="147"/>
      <c r="M34" s="147"/>
      <c r="N34" s="147"/>
      <c r="O34" s="147"/>
      <c r="P34" s="147"/>
      <c r="Q34" s="147"/>
      <c r="R34" s="147"/>
      <c r="S34" s="147"/>
      <c r="T34" s="147"/>
      <c r="U34" s="147"/>
      <c r="V34" s="148"/>
      <c r="W34" s="19"/>
      <c r="X34" s="99"/>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7"/>
      <c r="DO34" s="76"/>
      <c r="DP34" s="19"/>
      <c r="DQ34" s="19"/>
      <c r="DR34" s="19"/>
      <c r="DS34" s="13"/>
    </row>
    <row r="35" spans="1:124" ht="5.0999999999999996" customHeight="1">
      <c r="A35" s="12"/>
      <c r="B35" s="18"/>
      <c r="C35" s="19"/>
      <c r="D35" s="19"/>
      <c r="E35" s="19"/>
      <c r="F35" s="73"/>
      <c r="G35" s="146"/>
      <c r="H35" s="147"/>
      <c r="I35" s="147"/>
      <c r="J35" s="147"/>
      <c r="K35" s="147"/>
      <c r="L35" s="147"/>
      <c r="M35" s="147"/>
      <c r="N35" s="147"/>
      <c r="O35" s="147"/>
      <c r="P35" s="147"/>
      <c r="Q35" s="147"/>
      <c r="R35" s="147"/>
      <c r="S35" s="147"/>
      <c r="T35" s="147"/>
      <c r="U35" s="147"/>
      <c r="V35" s="148"/>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76"/>
      <c r="DP35" s="19"/>
      <c r="DQ35" s="19"/>
      <c r="DR35" s="19"/>
      <c r="DS35" s="13"/>
    </row>
    <row r="36" spans="1:124" ht="30" customHeight="1">
      <c r="A36" s="12"/>
      <c r="B36" s="18"/>
      <c r="C36" s="19"/>
      <c r="D36" s="19"/>
      <c r="E36" s="19"/>
      <c r="F36" s="73"/>
      <c r="G36" s="146"/>
      <c r="H36" s="147"/>
      <c r="I36" s="147"/>
      <c r="J36" s="147"/>
      <c r="K36" s="147"/>
      <c r="L36" s="147"/>
      <c r="M36" s="147"/>
      <c r="N36" s="147"/>
      <c r="O36" s="147"/>
      <c r="P36" s="147"/>
      <c r="Q36" s="147"/>
      <c r="R36" s="147"/>
      <c r="S36" s="147"/>
      <c r="T36" s="147"/>
      <c r="U36" s="147"/>
      <c r="V36" s="148"/>
      <c r="W36" s="19"/>
      <c r="X36" s="154" t="s">
        <v>939</v>
      </c>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c r="DB36" s="155"/>
      <c r="DC36" s="155"/>
      <c r="DD36" s="155"/>
      <c r="DE36" s="155"/>
      <c r="DF36" s="155"/>
      <c r="DG36" s="155"/>
      <c r="DH36" s="155"/>
      <c r="DI36" s="155"/>
      <c r="DJ36" s="155"/>
      <c r="DK36" s="155"/>
      <c r="DL36" s="155"/>
      <c r="DM36" s="155"/>
      <c r="DN36" s="156"/>
      <c r="DO36" s="76"/>
      <c r="DP36" s="19"/>
      <c r="DQ36" s="19"/>
      <c r="DR36" s="19"/>
      <c r="DS36" s="13"/>
    </row>
    <row r="37" spans="1:124" ht="5.0999999999999996" customHeight="1">
      <c r="A37" s="12"/>
      <c r="B37" s="18"/>
      <c r="C37" s="19"/>
      <c r="D37" s="19"/>
      <c r="E37" s="19"/>
      <c r="F37" s="73"/>
      <c r="G37" s="146"/>
      <c r="H37" s="147"/>
      <c r="I37" s="147"/>
      <c r="J37" s="147"/>
      <c r="K37" s="147"/>
      <c r="L37" s="147"/>
      <c r="M37" s="147"/>
      <c r="N37" s="147"/>
      <c r="O37" s="147"/>
      <c r="P37" s="147"/>
      <c r="Q37" s="147"/>
      <c r="R37" s="147"/>
      <c r="S37" s="147"/>
      <c r="T37" s="147"/>
      <c r="U37" s="147"/>
      <c r="V37" s="148"/>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76"/>
      <c r="DP37" s="19"/>
      <c r="DQ37" s="19"/>
      <c r="DR37" s="19"/>
      <c r="DS37" s="13"/>
    </row>
    <row r="38" spans="1:124" ht="30" customHeight="1">
      <c r="A38" s="12"/>
      <c r="B38" s="18"/>
      <c r="C38" s="19"/>
      <c r="D38" s="19"/>
      <c r="E38" s="19"/>
      <c r="F38" s="73"/>
      <c r="G38" s="146"/>
      <c r="H38" s="147"/>
      <c r="I38" s="147"/>
      <c r="J38" s="147"/>
      <c r="K38" s="147"/>
      <c r="L38" s="147"/>
      <c r="M38" s="147"/>
      <c r="N38" s="147"/>
      <c r="O38" s="147"/>
      <c r="P38" s="147"/>
      <c r="Q38" s="147"/>
      <c r="R38" s="147"/>
      <c r="S38" s="147"/>
      <c r="T38" s="147"/>
      <c r="U38" s="147"/>
      <c r="V38" s="148"/>
      <c r="W38" s="19"/>
      <c r="X38" s="157" t="s">
        <v>940</v>
      </c>
      <c r="Y38" s="158"/>
      <c r="Z38" s="158"/>
      <c r="AA38" s="158"/>
      <c r="AB38" s="158"/>
      <c r="AC38" s="158"/>
      <c r="AD38" s="158"/>
      <c r="AE38" s="158"/>
      <c r="AF38" s="158"/>
      <c r="AG38" s="158"/>
      <c r="AH38" s="158"/>
      <c r="AI38" s="158"/>
      <c r="AJ38" s="158"/>
      <c r="AK38" s="158"/>
      <c r="AL38" s="158"/>
      <c r="AM38" s="158"/>
      <c r="AN38" s="159"/>
      <c r="AO38" s="19"/>
      <c r="AP38" s="157" t="s">
        <v>941</v>
      </c>
      <c r="AQ38" s="158"/>
      <c r="AR38" s="158"/>
      <c r="AS38" s="158"/>
      <c r="AT38" s="158"/>
      <c r="AU38" s="158"/>
      <c r="AV38" s="158"/>
      <c r="AW38" s="158"/>
      <c r="AX38" s="158"/>
      <c r="AY38" s="158"/>
      <c r="AZ38" s="158"/>
      <c r="BA38" s="158"/>
      <c r="BB38" s="158"/>
      <c r="BC38" s="158"/>
      <c r="BD38" s="158"/>
      <c r="BE38" s="158"/>
      <c r="BF38" s="158"/>
      <c r="BG38" s="159"/>
      <c r="BH38" s="19"/>
      <c r="BI38" s="157" t="s">
        <v>942</v>
      </c>
      <c r="BJ38" s="158"/>
      <c r="BK38" s="158"/>
      <c r="BL38" s="158"/>
      <c r="BM38" s="158"/>
      <c r="BN38" s="158"/>
      <c r="BO38" s="158"/>
      <c r="BP38" s="158"/>
      <c r="BQ38" s="158"/>
      <c r="BR38" s="158"/>
      <c r="BS38" s="158"/>
      <c r="BT38" s="158"/>
      <c r="BU38" s="158"/>
      <c r="BV38" s="158"/>
      <c r="BW38" s="158"/>
      <c r="BX38" s="158"/>
      <c r="BY38" s="158"/>
      <c r="BZ38" s="159"/>
      <c r="CA38" s="19"/>
      <c r="CB38" s="157" t="s">
        <v>943</v>
      </c>
      <c r="CC38" s="158"/>
      <c r="CD38" s="158"/>
      <c r="CE38" s="158"/>
      <c r="CF38" s="158"/>
      <c r="CG38" s="158"/>
      <c r="CH38" s="158"/>
      <c r="CI38" s="158"/>
      <c r="CJ38" s="158"/>
      <c r="CK38" s="158"/>
      <c r="CL38" s="158"/>
      <c r="CM38" s="158"/>
      <c r="CN38" s="158"/>
      <c r="CO38" s="158"/>
      <c r="CP38" s="158"/>
      <c r="CQ38" s="158"/>
      <c r="CR38" s="158"/>
      <c r="CS38" s="158"/>
      <c r="CT38" s="159"/>
      <c r="CU38" s="19"/>
      <c r="CV38" s="157" t="s">
        <v>944</v>
      </c>
      <c r="CW38" s="158"/>
      <c r="CX38" s="158"/>
      <c r="CY38" s="158"/>
      <c r="CZ38" s="158"/>
      <c r="DA38" s="158"/>
      <c r="DB38" s="158"/>
      <c r="DC38" s="158"/>
      <c r="DD38" s="158"/>
      <c r="DE38" s="158"/>
      <c r="DF38" s="158"/>
      <c r="DG38" s="158"/>
      <c r="DH38" s="158"/>
      <c r="DI38" s="158"/>
      <c r="DJ38" s="158"/>
      <c r="DK38" s="158"/>
      <c r="DL38" s="158"/>
      <c r="DM38" s="158"/>
      <c r="DN38" s="159"/>
      <c r="DO38" s="76"/>
      <c r="DP38" s="19"/>
      <c r="DQ38" s="19"/>
      <c r="DR38" s="19"/>
      <c r="DS38" s="13"/>
    </row>
    <row r="39" spans="1:124" ht="5.0999999999999996" customHeight="1">
      <c r="A39" s="12"/>
      <c r="B39" s="18"/>
      <c r="C39" s="19"/>
      <c r="D39" s="19"/>
      <c r="E39" s="19"/>
      <c r="F39" s="73"/>
      <c r="G39" s="146"/>
      <c r="H39" s="147"/>
      <c r="I39" s="147"/>
      <c r="J39" s="147"/>
      <c r="K39" s="147"/>
      <c r="L39" s="147"/>
      <c r="M39" s="147"/>
      <c r="N39" s="147"/>
      <c r="O39" s="147"/>
      <c r="P39" s="147"/>
      <c r="Q39" s="147"/>
      <c r="R39" s="147"/>
      <c r="S39" s="147"/>
      <c r="T39" s="147"/>
      <c r="U39" s="147"/>
      <c r="V39" s="148"/>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76"/>
      <c r="DP39" s="19"/>
      <c r="DQ39" s="19"/>
      <c r="DR39" s="19"/>
      <c r="DS39" s="13"/>
    </row>
    <row r="40" spans="1:124" ht="5.0999999999999996" customHeight="1">
      <c r="A40" s="12"/>
      <c r="B40" s="18"/>
      <c r="C40" s="19"/>
      <c r="D40" s="19"/>
      <c r="E40" s="19"/>
      <c r="F40" s="73"/>
      <c r="G40" s="146"/>
      <c r="H40" s="147"/>
      <c r="I40" s="147"/>
      <c r="J40" s="147"/>
      <c r="K40" s="147"/>
      <c r="L40" s="147"/>
      <c r="M40" s="147"/>
      <c r="N40" s="147"/>
      <c r="O40" s="147"/>
      <c r="P40" s="147"/>
      <c r="Q40" s="147"/>
      <c r="R40" s="147"/>
      <c r="S40" s="147"/>
      <c r="T40" s="147"/>
      <c r="U40" s="147"/>
      <c r="V40" s="148"/>
      <c r="W40" s="19"/>
      <c r="X40" s="38"/>
      <c r="Y40" s="39"/>
      <c r="Z40" s="39"/>
      <c r="AA40" s="39"/>
      <c r="AB40" s="39"/>
      <c r="AC40" s="39"/>
      <c r="AD40" s="39"/>
      <c r="AE40" s="39"/>
      <c r="AF40" s="39"/>
      <c r="AG40" s="39"/>
      <c r="AH40" s="39"/>
      <c r="AI40" s="39"/>
      <c r="AJ40" s="39"/>
      <c r="AK40" s="39"/>
      <c r="AL40" s="39"/>
      <c r="AM40" s="39"/>
      <c r="AN40" s="40"/>
      <c r="AO40" s="19"/>
      <c r="AP40" s="38"/>
      <c r="AQ40" s="39"/>
      <c r="AR40" s="39"/>
      <c r="AS40" s="39"/>
      <c r="AT40" s="39"/>
      <c r="AU40" s="39"/>
      <c r="AV40" s="39"/>
      <c r="AW40" s="39"/>
      <c r="AX40" s="39"/>
      <c r="AY40" s="39"/>
      <c r="AZ40" s="39"/>
      <c r="BA40" s="39"/>
      <c r="BB40" s="39"/>
      <c r="BC40" s="39"/>
      <c r="BD40" s="39"/>
      <c r="BE40" s="39"/>
      <c r="BF40" s="39"/>
      <c r="BG40" s="40"/>
      <c r="BH40" s="19"/>
      <c r="BI40" s="38"/>
      <c r="BJ40" s="39"/>
      <c r="BK40" s="39"/>
      <c r="BL40" s="39"/>
      <c r="BM40" s="39"/>
      <c r="BN40" s="39"/>
      <c r="BO40" s="39"/>
      <c r="BP40" s="39"/>
      <c r="BQ40" s="39"/>
      <c r="BR40" s="39"/>
      <c r="BS40" s="39"/>
      <c r="BT40" s="39"/>
      <c r="BU40" s="39"/>
      <c r="BV40" s="39"/>
      <c r="BW40" s="39"/>
      <c r="BX40" s="39"/>
      <c r="BY40" s="39"/>
      <c r="BZ40" s="40"/>
      <c r="CA40" s="19"/>
      <c r="CB40" s="38"/>
      <c r="CC40" s="39"/>
      <c r="CD40" s="39"/>
      <c r="CE40" s="39"/>
      <c r="CF40" s="39"/>
      <c r="CG40" s="39"/>
      <c r="CH40" s="39"/>
      <c r="CI40" s="39"/>
      <c r="CJ40" s="39"/>
      <c r="CK40" s="39"/>
      <c r="CL40" s="39"/>
      <c r="CM40" s="39"/>
      <c r="CN40" s="39"/>
      <c r="CO40" s="39"/>
      <c r="CP40" s="39"/>
      <c r="CQ40" s="39"/>
      <c r="CR40" s="39"/>
      <c r="CS40" s="39"/>
      <c r="CT40" s="40"/>
      <c r="CU40" s="19"/>
      <c r="CV40" s="38"/>
      <c r="CW40" s="39"/>
      <c r="CX40" s="39"/>
      <c r="CY40" s="39"/>
      <c r="CZ40" s="39"/>
      <c r="DA40" s="39"/>
      <c r="DB40" s="39"/>
      <c r="DC40" s="39"/>
      <c r="DD40" s="39"/>
      <c r="DE40" s="39"/>
      <c r="DF40" s="39"/>
      <c r="DG40" s="39"/>
      <c r="DH40" s="39"/>
      <c r="DI40" s="39"/>
      <c r="DJ40" s="39"/>
      <c r="DK40" s="39"/>
      <c r="DL40" s="39"/>
      <c r="DM40" s="39"/>
      <c r="DN40" s="40"/>
      <c r="DO40" s="76"/>
      <c r="DP40" s="19"/>
      <c r="DQ40" s="19"/>
      <c r="DR40" s="19"/>
      <c r="DS40" s="13"/>
    </row>
    <row r="41" spans="1:124" ht="12" customHeight="1">
      <c r="A41" s="12"/>
      <c r="B41" s="18"/>
      <c r="C41" s="19"/>
      <c r="D41" s="19"/>
      <c r="E41" s="19"/>
      <c r="F41" s="73"/>
      <c r="G41" s="146"/>
      <c r="H41" s="147"/>
      <c r="I41" s="147"/>
      <c r="J41" s="147"/>
      <c r="K41" s="147"/>
      <c r="L41" s="147"/>
      <c r="M41" s="147"/>
      <c r="N41" s="147"/>
      <c r="O41" s="147"/>
      <c r="P41" s="147"/>
      <c r="Q41" s="147"/>
      <c r="R41" s="147"/>
      <c r="S41" s="147"/>
      <c r="T41" s="147"/>
      <c r="U41" s="147"/>
      <c r="V41" s="148"/>
      <c r="W41" s="19"/>
      <c r="X41" s="33"/>
      <c r="Y41" s="128" t="s">
        <v>945</v>
      </c>
      <c r="Z41" s="128"/>
      <c r="AA41" s="128"/>
      <c r="AB41" s="128"/>
      <c r="AC41" s="128"/>
      <c r="AD41" s="128"/>
      <c r="AE41" s="128"/>
      <c r="AF41" s="23" t="s">
        <v>937</v>
      </c>
      <c r="AG41" s="128" t="s">
        <v>946</v>
      </c>
      <c r="AH41" s="128"/>
      <c r="AI41" s="128"/>
      <c r="AJ41" s="128"/>
      <c r="AK41" s="128"/>
      <c r="AL41" s="128"/>
      <c r="AM41" s="128"/>
      <c r="AN41" s="34"/>
      <c r="AO41" s="19"/>
      <c r="AP41" s="33"/>
      <c r="AQ41" s="128" t="s">
        <v>945</v>
      </c>
      <c r="AR41" s="128"/>
      <c r="AS41" s="128"/>
      <c r="AT41" s="128"/>
      <c r="AU41" s="128"/>
      <c r="AV41" s="128"/>
      <c r="AW41" s="128"/>
      <c r="AX41" s="128"/>
      <c r="AY41" s="23" t="s">
        <v>937</v>
      </c>
      <c r="AZ41" s="128" t="s">
        <v>946</v>
      </c>
      <c r="BA41" s="128"/>
      <c r="BB41" s="128"/>
      <c r="BC41" s="128"/>
      <c r="BD41" s="128"/>
      <c r="BE41" s="128"/>
      <c r="BF41" s="128"/>
      <c r="BG41" s="34"/>
      <c r="BH41" s="19"/>
      <c r="BI41" s="33"/>
      <c r="BJ41" s="128" t="s">
        <v>945</v>
      </c>
      <c r="BK41" s="128"/>
      <c r="BL41" s="128"/>
      <c r="BM41" s="128"/>
      <c r="BN41" s="128"/>
      <c r="BO41" s="128"/>
      <c r="BP41" s="128"/>
      <c r="BQ41" s="23" t="s">
        <v>937</v>
      </c>
      <c r="BR41" s="128" t="s">
        <v>946</v>
      </c>
      <c r="BS41" s="128"/>
      <c r="BT41" s="128"/>
      <c r="BU41" s="128"/>
      <c r="BV41" s="128"/>
      <c r="BW41" s="128"/>
      <c r="BX41" s="128"/>
      <c r="BY41" s="128"/>
      <c r="BZ41" s="34"/>
      <c r="CA41" s="19"/>
      <c r="CB41" s="33"/>
      <c r="CC41" s="128" t="s">
        <v>945</v>
      </c>
      <c r="CD41" s="128"/>
      <c r="CE41" s="128"/>
      <c r="CF41" s="128"/>
      <c r="CG41" s="128"/>
      <c r="CH41" s="128"/>
      <c r="CI41" s="128"/>
      <c r="CJ41" s="128"/>
      <c r="CK41" s="23" t="s">
        <v>937</v>
      </c>
      <c r="CL41" s="128" t="s">
        <v>946</v>
      </c>
      <c r="CM41" s="128"/>
      <c r="CN41" s="128"/>
      <c r="CO41" s="128"/>
      <c r="CP41" s="128"/>
      <c r="CQ41" s="128"/>
      <c r="CR41" s="128"/>
      <c r="CS41" s="128"/>
      <c r="CT41" s="34"/>
      <c r="CU41" s="19"/>
      <c r="CV41" s="33"/>
      <c r="CW41" s="128" t="s">
        <v>945</v>
      </c>
      <c r="CX41" s="128"/>
      <c r="CY41" s="128"/>
      <c r="CZ41" s="128"/>
      <c r="DA41" s="128"/>
      <c r="DB41" s="128"/>
      <c r="DC41" s="128"/>
      <c r="DD41" s="128"/>
      <c r="DE41" s="23" t="s">
        <v>937</v>
      </c>
      <c r="DF41" s="128" t="s">
        <v>946</v>
      </c>
      <c r="DG41" s="128"/>
      <c r="DH41" s="128"/>
      <c r="DI41" s="128"/>
      <c r="DJ41" s="128"/>
      <c r="DK41" s="128"/>
      <c r="DL41" s="128"/>
      <c r="DM41" s="128"/>
      <c r="DN41" s="34"/>
      <c r="DO41" s="76"/>
      <c r="DP41" s="19"/>
      <c r="DQ41" s="19"/>
      <c r="DR41" s="19"/>
      <c r="DS41" s="13"/>
    </row>
    <row r="42" spans="1:124" ht="12" customHeight="1">
      <c r="A42" s="12"/>
      <c r="B42" s="18"/>
      <c r="C42" s="19"/>
      <c r="D42" s="19"/>
      <c r="E42" s="19"/>
      <c r="F42" s="73"/>
      <c r="G42" s="146"/>
      <c r="H42" s="147"/>
      <c r="I42" s="147"/>
      <c r="J42" s="147"/>
      <c r="K42" s="147"/>
      <c r="L42" s="147"/>
      <c r="M42" s="147"/>
      <c r="N42" s="147"/>
      <c r="O42" s="147"/>
      <c r="P42" s="147"/>
      <c r="Q42" s="147"/>
      <c r="R42" s="147"/>
      <c r="S42" s="147"/>
      <c r="T42" s="147"/>
      <c r="U42" s="147"/>
      <c r="V42" s="148"/>
      <c r="W42" s="19"/>
      <c r="X42" s="33"/>
      <c r="Y42" s="128" t="s">
        <v>947</v>
      </c>
      <c r="Z42" s="128"/>
      <c r="AA42" s="128"/>
      <c r="AB42" s="26" t="s">
        <v>948</v>
      </c>
      <c r="AC42" s="128" t="s">
        <v>949</v>
      </c>
      <c r="AD42" s="128"/>
      <c r="AE42" s="128"/>
      <c r="AF42" s="23"/>
      <c r="AG42" s="128" t="s">
        <v>947</v>
      </c>
      <c r="AH42" s="128"/>
      <c r="AI42" s="128"/>
      <c r="AJ42" s="26" t="s">
        <v>948</v>
      </c>
      <c r="AK42" s="128" t="s">
        <v>949</v>
      </c>
      <c r="AL42" s="128"/>
      <c r="AM42" s="128"/>
      <c r="AN42" s="34"/>
      <c r="AO42" s="19"/>
      <c r="AP42" s="33"/>
      <c r="AQ42" s="128" t="s">
        <v>947</v>
      </c>
      <c r="AR42" s="128"/>
      <c r="AS42" s="128"/>
      <c r="AT42" s="128"/>
      <c r="AU42" s="26" t="s">
        <v>948</v>
      </c>
      <c r="AV42" s="128" t="s">
        <v>949</v>
      </c>
      <c r="AW42" s="128"/>
      <c r="AX42" s="128"/>
      <c r="AY42" s="23"/>
      <c r="AZ42" s="128" t="s">
        <v>947</v>
      </c>
      <c r="BA42" s="128"/>
      <c r="BB42" s="128"/>
      <c r="BC42" s="26" t="s">
        <v>948</v>
      </c>
      <c r="BD42" s="128" t="s">
        <v>949</v>
      </c>
      <c r="BE42" s="128"/>
      <c r="BF42" s="128"/>
      <c r="BG42" s="34"/>
      <c r="BH42" s="19"/>
      <c r="BI42" s="33"/>
      <c r="BJ42" s="128" t="s">
        <v>947</v>
      </c>
      <c r="BK42" s="128"/>
      <c r="BL42" s="128"/>
      <c r="BM42" s="26" t="s">
        <v>948</v>
      </c>
      <c r="BN42" s="128" t="s">
        <v>949</v>
      </c>
      <c r="BO42" s="128"/>
      <c r="BP42" s="128"/>
      <c r="BQ42" s="23"/>
      <c r="BR42" s="128" t="s">
        <v>947</v>
      </c>
      <c r="BS42" s="128"/>
      <c r="BT42" s="128"/>
      <c r="BU42" s="26" t="s">
        <v>948</v>
      </c>
      <c r="BV42" s="128" t="s">
        <v>949</v>
      </c>
      <c r="BW42" s="128"/>
      <c r="BX42" s="128"/>
      <c r="BY42" s="128"/>
      <c r="BZ42" s="34"/>
      <c r="CA42" s="19"/>
      <c r="CB42" s="33"/>
      <c r="CC42" s="128" t="s">
        <v>947</v>
      </c>
      <c r="CD42" s="128"/>
      <c r="CE42" s="128"/>
      <c r="CF42" s="132" t="s">
        <v>948</v>
      </c>
      <c r="CG42" s="132"/>
      <c r="CH42" s="128" t="s">
        <v>949</v>
      </c>
      <c r="CI42" s="128"/>
      <c r="CJ42" s="128"/>
      <c r="CK42" s="23"/>
      <c r="CL42" s="128" t="s">
        <v>947</v>
      </c>
      <c r="CM42" s="128"/>
      <c r="CN42" s="128"/>
      <c r="CO42" s="128"/>
      <c r="CP42" s="26" t="s">
        <v>948</v>
      </c>
      <c r="CQ42" s="128" t="s">
        <v>949</v>
      </c>
      <c r="CR42" s="128"/>
      <c r="CS42" s="128"/>
      <c r="CT42" s="34"/>
      <c r="CU42" s="19"/>
      <c r="CV42" s="33"/>
      <c r="CW42" s="128" t="s">
        <v>947</v>
      </c>
      <c r="CX42" s="128"/>
      <c r="CY42" s="128"/>
      <c r="CZ42" s="132" t="s">
        <v>948</v>
      </c>
      <c r="DA42" s="132"/>
      <c r="DB42" s="128" t="s">
        <v>949</v>
      </c>
      <c r="DC42" s="128"/>
      <c r="DD42" s="128"/>
      <c r="DE42" s="23"/>
      <c r="DF42" s="128" t="s">
        <v>947</v>
      </c>
      <c r="DG42" s="128"/>
      <c r="DH42" s="128"/>
      <c r="DI42" s="132" t="s">
        <v>948</v>
      </c>
      <c r="DJ42" s="132"/>
      <c r="DK42" s="128" t="s">
        <v>949</v>
      </c>
      <c r="DL42" s="128"/>
      <c r="DM42" s="128"/>
      <c r="DN42" s="34"/>
      <c r="DO42" s="76"/>
      <c r="DP42" s="19"/>
      <c r="DQ42" s="19"/>
      <c r="DR42" s="19"/>
      <c r="DS42" s="13"/>
    </row>
    <row r="43" spans="1:124" ht="20.100000000000001" customHeight="1">
      <c r="A43" s="12"/>
      <c r="B43" s="18"/>
      <c r="C43" s="19"/>
      <c r="D43" s="19"/>
      <c r="E43" s="19"/>
      <c r="F43" s="73"/>
      <c r="G43" s="146"/>
      <c r="H43" s="147"/>
      <c r="I43" s="147"/>
      <c r="J43" s="147"/>
      <c r="K43" s="147"/>
      <c r="L43" s="147"/>
      <c r="M43" s="147"/>
      <c r="N43" s="147"/>
      <c r="O43" s="147"/>
      <c r="P43" s="147"/>
      <c r="Q43" s="147"/>
      <c r="R43" s="147"/>
      <c r="S43" s="147"/>
      <c r="T43" s="147"/>
      <c r="U43" s="147"/>
      <c r="V43" s="148"/>
      <c r="W43" s="19"/>
      <c r="X43" s="33"/>
      <c r="Y43" s="129">
        <v>0</v>
      </c>
      <c r="Z43" s="129"/>
      <c r="AA43" s="129"/>
      <c r="AB43" s="28" t="s">
        <v>948</v>
      </c>
      <c r="AC43" s="129">
        <v>9</v>
      </c>
      <c r="AD43" s="129"/>
      <c r="AE43" s="129"/>
      <c r="AF43" s="25"/>
      <c r="AG43" s="129">
        <v>30</v>
      </c>
      <c r="AH43" s="129"/>
      <c r="AI43" s="129"/>
      <c r="AJ43" s="28" t="s">
        <v>948</v>
      </c>
      <c r="AK43" s="129">
        <v>9</v>
      </c>
      <c r="AL43" s="129"/>
      <c r="AM43" s="129"/>
      <c r="AN43" s="34"/>
      <c r="AO43" s="19"/>
      <c r="AP43" s="33"/>
      <c r="AQ43" s="129"/>
      <c r="AR43" s="129"/>
      <c r="AS43" s="129"/>
      <c r="AT43" s="129"/>
      <c r="AU43" s="28" t="s">
        <v>948</v>
      </c>
      <c r="AV43" s="129"/>
      <c r="AW43" s="129"/>
      <c r="AX43" s="129"/>
      <c r="AY43" s="25"/>
      <c r="AZ43" s="129"/>
      <c r="BA43" s="129"/>
      <c r="BB43" s="129"/>
      <c r="BC43" s="28" t="s">
        <v>948</v>
      </c>
      <c r="BD43" s="129"/>
      <c r="BE43" s="129"/>
      <c r="BF43" s="129"/>
      <c r="BG43" s="34"/>
      <c r="BH43" s="19"/>
      <c r="BI43" s="33"/>
      <c r="BJ43" s="129">
        <v>0</v>
      </c>
      <c r="BK43" s="129"/>
      <c r="BL43" s="129"/>
      <c r="BM43" s="28" t="s">
        <v>948</v>
      </c>
      <c r="BN43" s="129">
        <v>9</v>
      </c>
      <c r="BO43" s="129"/>
      <c r="BP43" s="129"/>
      <c r="BQ43" s="25"/>
      <c r="BR43" s="129">
        <v>30</v>
      </c>
      <c r="BS43" s="129"/>
      <c r="BT43" s="129"/>
      <c r="BU43" s="28" t="s">
        <v>948</v>
      </c>
      <c r="BV43" s="129">
        <v>9</v>
      </c>
      <c r="BW43" s="129"/>
      <c r="BX43" s="129"/>
      <c r="BY43" s="129"/>
      <c r="BZ43" s="34"/>
      <c r="CA43" s="19"/>
      <c r="CB43" s="33"/>
      <c r="CC43" s="129"/>
      <c r="CD43" s="129"/>
      <c r="CE43" s="129"/>
      <c r="CF43" s="131" t="s">
        <v>948</v>
      </c>
      <c r="CG43" s="131"/>
      <c r="CH43" s="129"/>
      <c r="CI43" s="129"/>
      <c r="CJ43" s="129"/>
      <c r="CK43" s="25"/>
      <c r="CL43" s="129"/>
      <c r="CM43" s="129"/>
      <c r="CN43" s="129"/>
      <c r="CO43" s="129"/>
      <c r="CP43" s="28" t="s">
        <v>948</v>
      </c>
      <c r="CQ43" s="129"/>
      <c r="CR43" s="129"/>
      <c r="CS43" s="129"/>
      <c r="CT43" s="34"/>
      <c r="CU43" s="19"/>
      <c r="CV43" s="33"/>
      <c r="CW43" s="129"/>
      <c r="CX43" s="129"/>
      <c r="CY43" s="129"/>
      <c r="CZ43" s="131" t="s">
        <v>948</v>
      </c>
      <c r="DA43" s="131"/>
      <c r="DB43" s="129"/>
      <c r="DC43" s="129"/>
      <c r="DD43" s="129"/>
      <c r="DE43" s="25"/>
      <c r="DF43" s="129"/>
      <c r="DG43" s="129"/>
      <c r="DH43" s="129"/>
      <c r="DI43" s="131" t="s">
        <v>948</v>
      </c>
      <c r="DJ43" s="131"/>
      <c r="DK43" s="129"/>
      <c r="DL43" s="129"/>
      <c r="DM43" s="129"/>
      <c r="DN43" s="34"/>
      <c r="DO43" s="76"/>
      <c r="DP43" s="19"/>
      <c r="DQ43" s="19"/>
      <c r="DR43" s="19"/>
      <c r="DS43" s="13"/>
    </row>
    <row r="44" spans="1:124" ht="5.0999999999999996" customHeight="1">
      <c r="A44" s="12"/>
      <c r="B44" s="18"/>
      <c r="C44" s="19"/>
      <c r="D44" s="19"/>
      <c r="E44" s="19"/>
      <c r="F44" s="73"/>
      <c r="G44" s="149"/>
      <c r="H44" s="150"/>
      <c r="I44" s="150"/>
      <c r="J44" s="150"/>
      <c r="K44" s="150"/>
      <c r="L44" s="150"/>
      <c r="M44" s="150"/>
      <c r="N44" s="150"/>
      <c r="O44" s="150"/>
      <c r="P44" s="150"/>
      <c r="Q44" s="150"/>
      <c r="R44" s="150"/>
      <c r="S44" s="150"/>
      <c r="T44" s="150"/>
      <c r="U44" s="150"/>
      <c r="V44" s="151"/>
      <c r="W44" s="19"/>
      <c r="X44" s="35"/>
      <c r="Y44" s="36"/>
      <c r="Z44" s="36"/>
      <c r="AA44" s="36"/>
      <c r="AB44" s="36"/>
      <c r="AC44" s="36"/>
      <c r="AD44" s="36"/>
      <c r="AE44" s="36"/>
      <c r="AF44" s="36"/>
      <c r="AG44" s="36"/>
      <c r="AH44" s="36"/>
      <c r="AI44" s="36"/>
      <c r="AJ44" s="36"/>
      <c r="AK44" s="36"/>
      <c r="AL44" s="36"/>
      <c r="AM44" s="36"/>
      <c r="AN44" s="37"/>
      <c r="AO44" s="19"/>
      <c r="AP44" s="35"/>
      <c r="AQ44" s="36"/>
      <c r="AR44" s="36"/>
      <c r="AS44" s="36"/>
      <c r="AT44" s="36"/>
      <c r="AU44" s="36"/>
      <c r="AV44" s="36"/>
      <c r="AW44" s="36"/>
      <c r="AX44" s="36"/>
      <c r="AY44" s="36"/>
      <c r="AZ44" s="36"/>
      <c r="BA44" s="36"/>
      <c r="BB44" s="36"/>
      <c r="BC44" s="36"/>
      <c r="BD44" s="36"/>
      <c r="BE44" s="36"/>
      <c r="BF44" s="36"/>
      <c r="BG44" s="37"/>
      <c r="BH44" s="19"/>
      <c r="BI44" s="35"/>
      <c r="BJ44" s="36"/>
      <c r="BK44" s="36"/>
      <c r="BL44" s="36"/>
      <c r="BM44" s="36"/>
      <c r="BN44" s="36"/>
      <c r="BO44" s="36"/>
      <c r="BP44" s="36"/>
      <c r="BQ44" s="36"/>
      <c r="BR44" s="36"/>
      <c r="BS44" s="36"/>
      <c r="BT44" s="36"/>
      <c r="BU44" s="36"/>
      <c r="BV44" s="36"/>
      <c r="BW44" s="36"/>
      <c r="BX44" s="36"/>
      <c r="BY44" s="36"/>
      <c r="BZ44" s="37"/>
      <c r="CA44" s="19"/>
      <c r="CB44" s="35"/>
      <c r="CC44" s="36"/>
      <c r="CD44" s="36"/>
      <c r="CE44" s="36"/>
      <c r="CF44" s="36"/>
      <c r="CG44" s="36"/>
      <c r="CH44" s="36"/>
      <c r="CI44" s="36"/>
      <c r="CJ44" s="36"/>
      <c r="CK44" s="36"/>
      <c r="CL44" s="36"/>
      <c r="CM44" s="36"/>
      <c r="CN44" s="36"/>
      <c r="CO44" s="36"/>
      <c r="CP44" s="36"/>
      <c r="CQ44" s="36"/>
      <c r="CR44" s="36"/>
      <c r="CS44" s="36"/>
      <c r="CT44" s="37"/>
      <c r="CU44" s="19"/>
      <c r="CV44" s="35"/>
      <c r="CW44" s="36"/>
      <c r="CX44" s="36"/>
      <c r="CY44" s="36"/>
      <c r="CZ44" s="36"/>
      <c r="DA44" s="36"/>
      <c r="DB44" s="36"/>
      <c r="DC44" s="36"/>
      <c r="DD44" s="36"/>
      <c r="DE44" s="36"/>
      <c r="DF44" s="36"/>
      <c r="DG44" s="36"/>
      <c r="DH44" s="36"/>
      <c r="DI44" s="36"/>
      <c r="DJ44" s="36"/>
      <c r="DK44" s="36"/>
      <c r="DL44" s="36"/>
      <c r="DM44" s="36"/>
      <c r="DN44" s="37"/>
      <c r="DO44" s="76"/>
      <c r="DP44" s="19"/>
      <c r="DQ44" s="19"/>
      <c r="DR44" s="19"/>
      <c r="DS44" s="13"/>
    </row>
    <row r="45" spans="1:124" ht="5.0999999999999996" customHeight="1">
      <c r="A45" s="12"/>
      <c r="B45" s="18"/>
      <c r="C45" s="19"/>
      <c r="D45" s="19"/>
      <c r="E45" s="19"/>
      <c r="F45" s="74"/>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77"/>
      <c r="DP45" s="19"/>
      <c r="DQ45" s="19"/>
      <c r="DR45" s="19"/>
      <c r="DS45" s="12"/>
      <c r="DT45" s="13"/>
    </row>
    <row r="46" spans="1:124" ht="15" customHeight="1">
      <c r="A46" s="12"/>
      <c r="B46" s="18"/>
      <c r="C46" s="19"/>
      <c r="D46" s="19"/>
      <c r="E46" s="19"/>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c r="CC46" s="71"/>
      <c r="CD46" s="71"/>
      <c r="CE46" s="71"/>
      <c r="CF46" s="71"/>
      <c r="CG46" s="71"/>
      <c r="CH46" s="71"/>
      <c r="CI46" s="71"/>
      <c r="CJ46" s="71"/>
      <c r="CK46" s="71"/>
      <c r="CL46" s="71"/>
      <c r="CM46" s="71"/>
      <c r="CN46" s="71"/>
      <c r="CO46" s="71"/>
      <c r="CP46" s="71"/>
      <c r="CQ46" s="71"/>
      <c r="CR46" s="71"/>
      <c r="CS46" s="71"/>
      <c r="CT46" s="71"/>
      <c r="CU46" s="71"/>
      <c r="CV46" s="71"/>
      <c r="CW46" s="71"/>
      <c r="CX46" s="71"/>
      <c r="CY46" s="71"/>
      <c r="CZ46" s="71"/>
      <c r="DA46" s="71"/>
      <c r="DB46" s="71"/>
      <c r="DC46" s="71"/>
      <c r="DD46" s="71"/>
      <c r="DE46" s="71"/>
      <c r="DF46" s="71"/>
      <c r="DG46" s="71"/>
      <c r="DH46" s="71"/>
      <c r="DI46" s="71"/>
      <c r="DJ46" s="71"/>
      <c r="DK46" s="71"/>
      <c r="DL46" s="71"/>
      <c r="DM46" s="71"/>
      <c r="DN46" s="71"/>
      <c r="DO46" s="71"/>
      <c r="DP46" s="19"/>
      <c r="DQ46" s="19"/>
      <c r="DR46" s="19"/>
      <c r="DS46" s="12"/>
      <c r="DT46" s="13"/>
    </row>
    <row r="47" spans="1:124" ht="5.0999999999999996" customHeight="1">
      <c r="A47" s="12"/>
      <c r="B47" s="18"/>
      <c r="C47" s="19"/>
      <c r="D47" s="19"/>
      <c r="E47" s="19"/>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19"/>
      <c r="DQ47" s="19"/>
      <c r="DR47" s="19"/>
      <c r="DS47" s="12"/>
      <c r="DT47" s="13"/>
    </row>
    <row r="48" spans="1:124" ht="15" customHeight="1">
      <c r="A48" s="12"/>
      <c r="B48" s="18"/>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2"/>
      <c r="DT48" s="13"/>
    </row>
    <row r="49" spans="1:124" ht="5.0999999999999996" customHeight="1">
      <c r="A49" s="12"/>
      <c r="B49" s="18"/>
      <c r="C49" s="19"/>
      <c r="D49" s="19"/>
      <c r="E49" s="19"/>
      <c r="F49" s="72"/>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c r="CW49" s="71"/>
      <c r="CX49" s="71"/>
      <c r="CY49" s="71"/>
      <c r="CZ49" s="71"/>
      <c r="DA49" s="71"/>
      <c r="DB49" s="71"/>
      <c r="DC49" s="71"/>
      <c r="DD49" s="71"/>
      <c r="DE49" s="71"/>
      <c r="DF49" s="71"/>
      <c r="DG49" s="71"/>
      <c r="DH49" s="71"/>
      <c r="DI49" s="71"/>
      <c r="DJ49" s="71"/>
      <c r="DK49" s="71"/>
      <c r="DL49" s="71"/>
      <c r="DM49" s="71"/>
      <c r="DN49" s="71"/>
      <c r="DO49" s="75"/>
      <c r="DP49" s="19"/>
      <c r="DQ49" s="19"/>
      <c r="DR49" s="19"/>
      <c r="DS49" s="12"/>
      <c r="DT49" s="13"/>
    </row>
    <row r="50" spans="1:124" ht="5.0999999999999996" customHeight="1">
      <c r="A50" s="12"/>
      <c r="B50" s="18"/>
      <c r="C50" s="19"/>
      <c r="D50" s="19"/>
      <c r="E50" s="19"/>
      <c r="F50" s="73"/>
      <c r="G50" s="143" t="s">
        <v>950</v>
      </c>
      <c r="H50" s="144"/>
      <c r="I50" s="144"/>
      <c r="J50" s="144"/>
      <c r="K50" s="144"/>
      <c r="L50" s="144"/>
      <c r="M50" s="144"/>
      <c r="N50" s="144"/>
      <c r="O50" s="144"/>
      <c r="P50" s="144"/>
      <c r="Q50" s="144"/>
      <c r="R50" s="144"/>
      <c r="S50" s="144"/>
      <c r="T50" s="144"/>
      <c r="U50" s="144"/>
      <c r="V50" s="145"/>
      <c r="W50" s="19"/>
      <c r="X50" s="97"/>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40"/>
      <c r="DO50" s="76"/>
      <c r="DP50" s="19"/>
      <c r="DQ50" s="19"/>
      <c r="DR50" s="19"/>
      <c r="DS50" s="13"/>
    </row>
    <row r="51" spans="1:124" ht="12" customHeight="1">
      <c r="A51" s="12"/>
      <c r="B51" s="18"/>
      <c r="C51" s="19"/>
      <c r="D51" s="19"/>
      <c r="E51" s="19"/>
      <c r="F51" s="73"/>
      <c r="G51" s="146"/>
      <c r="H51" s="147"/>
      <c r="I51" s="147"/>
      <c r="J51" s="147"/>
      <c r="K51" s="147"/>
      <c r="L51" s="147"/>
      <c r="M51" s="147"/>
      <c r="N51" s="147"/>
      <c r="O51" s="147"/>
      <c r="P51" s="147"/>
      <c r="Q51" s="147"/>
      <c r="R51" s="147"/>
      <c r="S51" s="147"/>
      <c r="T51" s="147"/>
      <c r="U51" s="147"/>
      <c r="V51" s="148"/>
      <c r="W51" s="19"/>
      <c r="X51" s="98"/>
      <c r="Y51" s="69"/>
      <c r="Z51" s="69"/>
      <c r="AA51" s="69"/>
      <c r="AB51" s="69"/>
      <c r="AC51" s="69"/>
      <c r="AD51" s="69"/>
      <c r="AE51" s="23"/>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34"/>
      <c r="DO51" s="76"/>
      <c r="DP51" s="19"/>
      <c r="DQ51" s="19"/>
      <c r="DR51" s="19"/>
      <c r="DS51" s="13"/>
    </row>
    <row r="52" spans="1:124" ht="20.100000000000001" customHeight="1">
      <c r="A52" s="12"/>
      <c r="B52" s="18"/>
      <c r="C52" s="19"/>
      <c r="D52" s="19"/>
      <c r="E52" s="19"/>
      <c r="F52" s="73"/>
      <c r="G52" s="146"/>
      <c r="H52" s="147"/>
      <c r="I52" s="147"/>
      <c r="J52" s="147"/>
      <c r="K52" s="147"/>
      <c r="L52" s="147"/>
      <c r="M52" s="147"/>
      <c r="N52" s="147"/>
      <c r="O52" s="147"/>
      <c r="P52" s="147"/>
      <c r="Q52" s="147"/>
      <c r="R52" s="147"/>
      <c r="S52" s="147"/>
      <c r="T52" s="147"/>
      <c r="U52" s="147"/>
      <c r="V52" s="148"/>
      <c r="W52" s="19"/>
      <c r="X52" s="98"/>
      <c r="Y52" s="69"/>
      <c r="Z52" s="69"/>
      <c r="AA52" s="26"/>
      <c r="AB52" s="69"/>
      <c r="AC52" s="69"/>
      <c r="AD52" s="69"/>
      <c r="AE52" s="23"/>
      <c r="AF52" s="69"/>
      <c r="AG52" s="128" t="s">
        <v>935</v>
      </c>
      <c r="AH52" s="128"/>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c r="BH52" s="160"/>
      <c r="BI52" s="69" t="s">
        <v>936</v>
      </c>
      <c r="BJ52" s="69"/>
      <c r="BK52" s="70" t="s">
        <v>937</v>
      </c>
      <c r="BL52" s="69"/>
      <c r="BM52" s="69"/>
      <c r="BN52" s="69"/>
      <c r="BO52" s="69"/>
      <c r="BP52" s="69"/>
      <c r="BQ52" s="69"/>
      <c r="BR52" s="69"/>
      <c r="BS52" s="69"/>
      <c r="BT52" s="69"/>
      <c r="BU52" s="69"/>
      <c r="BV52" s="69"/>
      <c r="BW52" s="69"/>
      <c r="BX52" s="69"/>
      <c r="BY52" s="69"/>
      <c r="BZ52" s="69"/>
      <c r="CA52" s="69"/>
      <c r="CB52" s="69"/>
      <c r="CC52" s="69"/>
      <c r="CD52" s="70" t="s">
        <v>937</v>
      </c>
      <c r="CE52" s="69"/>
      <c r="CF52" s="69"/>
      <c r="CG52" s="69"/>
      <c r="CH52" s="69"/>
      <c r="CI52" s="69"/>
      <c r="CJ52" s="69"/>
      <c r="CK52" s="69"/>
      <c r="CL52" s="69"/>
      <c r="CM52" s="69"/>
      <c r="CN52" s="69"/>
      <c r="CO52" s="130" t="s">
        <v>935</v>
      </c>
      <c r="CP52" s="130"/>
      <c r="CQ52" s="130"/>
      <c r="CR52" s="139" t="s">
        <v>951</v>
      </c>
      <c r="CS52" s="139"/>
      <c r="CT52" s="139"/>
      <c r="CU52" s="139"/>
      <c r="CV52" s="139"/>
      <c r="CW52" s="139"/>
      <c r="CX52" s="139"/>
      <c r="CY52" s="139"/>
      <c r="CZ52" s="139"/>
      <c r="DA52" s="139"/>
      <c r="DB52" s="139"/>
      <c r="DC52" s="139"/>
      <c r="DD52" s="139"/>
      <c r="DE52" s="139"/>
      <c r="DF52" s="139"/>
      <c r="DG52" s="139"/>
      <c r="DH52" s="139"/>
      <c r="DI52" s="139"/>
      <c r="DJ52" s="139"/>
      <c r="DK52" s="139"/>
      <c r="DL52" s="153" t="s">
        <v>936</v>
      </c>
      <c r="DM52" s="153"/>
      <c r="DN52" s="34"/>
      <c r="DO52" s="76"/>
      <c r="DP52" s="19"/>
      <c r="DQ52" s="19"/>
      <c r="DR52" s="19"/>
      <c r="DS52" s="13"/>
    </row>
    <row r="53" spans="1:124" ht="12" customHeight="1">
      <c r="A53" s="12"/>
      <c r="B53" s="18"/>
      <c r="C53" s="19"/>
      <c r="D53" s="19"/>
      <c r="E53" s="19"/>
      <c r="F53" s="73"/>
      <c r="G53" s="146"/>
      <c r="H53" s="147"/>
      <c r="I53" s="147"/>
      <c r="J53" s="147"/>
      <c r="K53" s="147"/>
      <c r="L53" s="147"/>
      <c r="M53" s="147"/>
      <c r="N53" s="147"/>
      <c r="O53" s="147"/>
      <c r="P53" s="147"/>
      <c r="Q53" s="147"/>
      <c r="R53" s="147"/>
      <c r="S53" s="147"/>
      <c r="T53" s="147"/>
      <c r="U53" s="147"/>
      <c r="V53" s="148"/>
      <c r="W53" s="19"/>
      <c r="X53" s="98"/>
      <c r="Y53" s="69"/>
      <c r="Z53" s="69"/>
      <c r="AA53" s="26"/>
      <c r="AB53" s="69"/>
      <c r="AC53" s="69"/>
      <c r="AD53" s="69"/>
      <c r="AE53" s="23"/>
      <c r="AF53" s="69"/>
      <c r="AG53" s="69"/>
      <c r="AH53" s="69"/>
      <c r="AI53" s="26"/>
      <c r="AJ53" s="26"/>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26"/>
      <c r="DC53" s="69"/>
      <c r="DD53" s="69"/>
      <c r="DE53" s="69"/>
      <c r="DF53" s="69"/>
      <c r="DG53" s="69"/>
      <c r="DH53" s="69"/>
      <c r="DI53" s="26"/>
      <c r="DJ53" s="26"/>
      <c r="DK53" s="69"/>
      <c r="DL53" s="69"/>
      <c r="DM53" s="69"/>
      <c r="DN53" s="34"/>
      <c r="DO53" s="76"/>
      <c r="DP53" s="19"/>
      <c r="DQ53" s="19"/>
      <c r="DR53" s="19"/>
      <c r="DS53" s="13"/>
    </row>
    <row r="54" spans="1:124" ht="5.0999999999999996" customHeight="1">
      <c r="A54" s="12"/>
      <c r="B54" s="18"/>
      <c r="C54" s="19"/>
      <c r="D54" s="19"/>
      <c r="E54" s="19"/>
      <c r="F54" s="73"/>
      <c r="G54" s="146"/>
      <c r="H54" s="147"/>
      <c r="I54" s="147"/>
      <c r="J54" s="147"/>
      <c r="K54" s="147"/>
      <c r="L54" s="147"/>
      <c r="M54" s="147"/>
      <c r="N54" s="147"/>
      <c r="O54" s="147"/>
      <c r="P54" s="147"/>
      <c r="Q54" s="147"/>
      <c r="R54" s="147"/>
      <c r="S54" s="147"/>
      <c r="T54" s="147"/>
      <c r="U54" s="147"/>
      <c r="V54" s="148"/>
      <c r="W54" s="19"/>
      <c r="X54" s="99"/>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7"/>
      <c r="DO54" s="76"/>
      <c r="DP54" s="19"/>
      <c r="DQ54" s="19"/>
      <c r="DR54" s="19"/>
      <c r="DS54" s="13"/>
    </row>
    <row r="55" spans="1:124" ht="5.0999999999999996" customHeight="1">
      <c r="A55" s="12"/>
      <c r="B55" s="18"/>
      <c r="C55" s="19"/>
      <c r="D55" s="19"/>
      <c r="E55" s="19"/>
      <c r="F55" s="73"/>
      <c r="G55" s="146"/>
      <c r="H55" s="147"/>
      <c r="I55" s="147"/>
      <c r="J55" s="147"/>
      <c r="K55" s="147"/>
      <c r="L55" s="147"/>
      <c r="M55" s="147"/>
      <c r="N55" s="147"/>
      <c r="O55" s="147"/>
      <c r="P55" s="147"/>
      <c r="Q55" s="147"/>
      <c r="R55" s="147"/>
      <c r="S55" s="147"/>
      <c r="T55" s="147"/>
      <c r="U55" s="147"/>
      <c r="V55" s="148"/>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76"/>
      <c r="DP55" s="19"/>
      <c r="DQ55" s="19"/>
      <c r="DR55" s="19"/>
      <c r="DS55" s="13"/>
    </row>
    <row r="56" spans="1:124" ht="30" customHeight="1">
      <c r="A56" s="12"/>
      <c r="B56" s="18"/>
      <c r="C56" s="19"/>
      <c r="D56" s="19"/>
      <c r="E56" s="19"/>
      <c r="F56" s="73"/>
      <c r="G56" s="146"/>
      <c r="H56" s="147"/>
      <c r="I56" s="147"/>
      <c r="J56" s="147"/>
      <c r="K56" s="147"/>
      <c r="L56" s="147"/>
      <c r="M56" s="147"/>
      <c r="N56" s="147"/>
      <c r="O56" s="147"/>
      <c r="P56" s="147"/>
      <c r="Q56" s="147"/>
      <c r="R56" s="147"/>
      <c r="S56" s="147"/>
      <c r="T56" s="147"/>
      <c r="U56" s="147"/>
      <c r="V56" s="148"/>
      <c r="W56" s="19"/>
      <c r="X56" s="154" t="s">
        <v>939</v>
      </c>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6"/>
      <c r="DO56" s="76"/>
      <c r="DP56" s="19"/>
      <c r="DQ56" s="19"/>
      <c r="DR56" s="19"/>
      <c r="DS56" s="13"/>
    </row>
    <row r="57" spans="1:124" ht="5.0999999999999996" customHeight="1">
      <c r="A57" s="12"/>
      <c r="B57" s="18"/>
      <c r="C57" s="19"/>
      <c r="D57" s="19"/>
      <c r="E57" s="19"/>
      <c r="F57" s="73"/>
      <c r="G57" s="146"/>
      <c r="H57" s="147"/>
      <c r="I57" s="147"/>
      <c r="J57" s="147"/>
      <c r="K57" s="147"/>
      <c r="L57" s="147"/>
      <c r="M57" s="147"/>
      <c r="N57" s="147"/>
      <c r="O57" s="147"/>
      <c r="P57" s="147"/>
      <c r="Q57" s="147"/>
      <c r="R57" s="147"/>
      <c r="S57" s="147"/>
      <c r="T57" s="147"/>
      <c r="U57" s="147"/>
      <c r="V57" s="148"/>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76"/>
      <c r="DP57" s="19"/>
      <c r="DQ57" s="19"/>
      <c r="DR57" s="19"/>
      <c r="DS57" s="13"/>
    </row>
    <row r="58" spans="1:124" ht="30" customHeight="1">
      <c r="A58" s="12"/>
      <c r="B58" s="18"/>
      <c r="C58" s="19"/>
      <c r="D58" s="19"/>
      <c r="E58" s="19"/>
      <c r="F58" s="73"/>
      <c r="G58" s="146"/>
      <c r="H58" s="147"/>
      <c r="I58" s="147"/>
      <c r="J58" s="147"/>
      <c r="K58" s="147"/>
      <c r="L58" s="147"/>
      <c r="M58" s="147"/>
      <c r="N58" s="147"/>
      <c r="O58" s="147"/>
      <c r="P58" s="147"/>
      <c r="Q58" s="147"/>
      <c r="R58" s="147"/>
      <c r="S58" s="147"/>
      <c r="T58" s="147"/>
      <c r="U58" s="147"/>
      <c r="V58" s="148"/>
      <c r="W58" s="19"/>
      <c r="X58" s="157" t="s">
        <v>940</v>
      </c>
      <c r="Y58" s="158"/>
      <c r="Z58" s="158"/>
      <c r="AA58" s="158"/>
      <c r="AB58" s="158"/>
      <c r="AC58" s="158"/>
      <c r="AD58" s="158"/>
      <c r="AE58" s="158"/>
      <c r="AF58" s="158"/>
      <c r="AG58" s="158"/>
      <c r="AH58" s="158"/>
      <c r="AI58" s="158"/>
      <c r="AJ58" s="158"/>
      <c r="AK58" s="158"/>
      <c r="AL58" s="158"/>
      <c r="AM58" s="158"/>
      <c r="AN58" s="159"/>
      <c r="AO58" s="19"/>
      <c r="AP58" s="157" t="s">
        <v>941</v>
      </c>
      <c r="AQ58" s="158"/>
      <c r="AR58" s="158"/>
      <c r="AS58" s="158"/>
      <c r="AT58" s="158"/>
      <c r="AU58" s="158"/>
      <c r="AV58" s="158"/>
      <c r="AW58" s="158"/>
      <c r="AX58" s="158"/>
      <c r="AY58" s="158"/>
      <c r="AZ58" s="158"/>
      <c r="BA58" s="158"/>
      <c r="BB58" s="158"/>
      <c r="BC58" s="158"/>
      <c r="BD58" s="158"/>
      <c r="BE58" s="158"/>
      <c r="BF58" s="158"/>
      <c r="BG58" s="159"/>
      <c r="BH58" s="19"/>
      <c r="BI58" s="157" t="s">
        <v>942</v>
      </c>
      <c r="BJ58" s="158"/>
      <c r="BK58" s="158"/>
      <c r="BL58" s="158"/>
      <c r="BM58" s="158"/>
      <c r="BN58" s="158"/>
      <c r="BO58" s="158"/>
      <c r="BP58" s="158"/>
      <c r="BQ58" s="158"/>
      <c r="BR58" s="158"/>
      <c r="BS58" s="158"/>
      <c r="BT58" s="158"/>
      <c r="BU58" s="158"/>
      <c r="BV58" s="158"/>
      <c r="BW58" s="158"/>
      <c r="BX58" s="158"/>
      <c r="BY58" s="158"/>
      <c r="BZ58" s="159"/>
      <c r="CA58" s="19"/>
      <c r="CB58" s="157" t="s">
        <v>943</v>
      </c>
      <c r="CC58" s="158"/>
      <c r="CD58" s="158"/>
      <c r="CE58" s="158"/>
      <c r="CF58" s="158"/>
      <c r="CG58" s="158"/>
      <c r="CH58" s="158"/>
      <c r="CI58" s="158"/>
      <c r="CJ58" s="158"/>
      <c r="CK58" s="158"/>
      <c r="CL58" s="158"/>
      <c r="CM58" s="158"/>
      <c r="CN58" s="158"/>
      <c r="CO58" s="158"/>
      <c r="CP58" s="158"/>
      <c r="CQ58" s="158"/>
      <c r="CR58" s="158"/>
      <c r="CS58" s="158"/>
      <c r="CT58" s="159"/>
      <c r="CU58" s="19"/>
      <c r="CV58" s="157" t="s">
        <v>944</v>
      </c>
      <c r="CW58" s="158"/>
      <c r="CX58" s="158"/>
      <c r="CY58" s="158"/>
      <c r="CZ58" s="158"/>
      <c r="DA58" s="158"/>
      <c r="DB58" s="158"/>
      <c r="DC58" s="158"/>
      <c r="DD58" s="158"/>
      <c r="DE58" s="158"/>
      <c r="DF58" s="158"/>
      <c r="DG58" s="158"/>
      <c r="DH58" s="158"/>
      <c r="DI58" s="158"/>
      <c r="DJ58" s="158"/>
      <c r="DK58" s="158"/>
      <c r="DL58" s="158"/>
      <c r="DM58" s="158"/>
      <c r="DN58" s="159"/>
      <c r="DO58" s="76"/>
      <c r="DP58" s="19"/>
      <c r="DQ58" s="19"/>
      <c r="DR58" s="19"/>
      <c r="DS58" s="13"/>
    </row>
    <row r="59" spans="1:124" ht="5.0999999999999996" customHeight="1">
      <c r="A59" s="12"/>
      <c r="B59" s="18"/>
      <c r="C59" s="19"/>
      <c r="D59" s="19"/>
      <c r="E59" s="19"/>
      <c r="F59" s="73"/>
      <c r="G59" s="146"/>
      <c r="H59" s="147"/>
      <c r="I59" s="147"/>
      <c r="J59" s="147"/>
      <c r="K59" s="147"/>
      <c r="L59" s="147"/>
      <c r="M59" s="147"/>
      <c r="N59" s="147"/>
      <c r="O59" s="147"/>
      <c r="P59" s="147"/>
      <c r="Q59" s="147"/>
      <c r="R59" s="147"/>
      <c r="S59" s="147"/>
      <c r="T59" s="147"/>
      <c r="U59" s="147"/>
      <c r="V59" s="148"/>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76"/>
      <c r="DP59" s="19"/>
      <c r="DQ59" s="19"/>
      <c r="DR59" s="19"/>
      <c r="DS59" s="13"/>
    </row>
    <row r="60" spans="1:124" ht="5.0999999999999996" customHeight="1">
      <c r="A60" s="12"/>
      <c r="B60" s="18"/>
      <c r="C60" s="19"/>
      <c r="D60" s="19"/>
      <c r="E60" s="19"/>
      <c r="F60" s="73"/>
      <c r="G60" s="146"/>
      <c r="H60" s="147"/>
      <c r="I60" s="147"/>
      <c r="J60" s="147"/>
      <c r="K60" s="147"/>
      <c r="L60" s="147"/>
      <c r="M60" s="147"/>
      <c r="N60" s="147"/>
      <c r="O60" s="147"/>
      <c r="P60" s="147"/>
      <c r="Q60" s="147"/>
      <c r="R60" s="147"/>
      <c r="S60" s="147"/>
      <c r="T60" s="147"/>
      <c r="U60" s="147"/>
      <c r="V60" s="148"/>
      <c r="W60" s="19"/>
      <c r="X60" s="38"/>
      <c r="Y60" s="39"/>
      <c r="Z60" s="39"/>
      <c r="AA60" s="39"/>
      <c r="AB60" s="39"/>
      <c r="AC60" s="39"/>
      <c r="AD60" s="39"/>
      <c r="AE60" s="39"/>
      <c r="AF60" s="39"/>
      <c r="AG60" s="39"/>
      <c r="AH60" s="39"/>
      <c r="AI60" s="39"/>
      <c r="AJ60" s="39"/>
      <c r="AK60" s="39"/>
      <c r="AL60" s="39"/>
      <c r="AM60" s="39"/>
      <c r="AN60" s="40"/>
      <c r="AO60" s="19"/>
      <c r="AP60" s="38"/>
      <c r="AQ60" s="39"/>
      <c r="AR60" s="39"/>
      <c r="AS60" s="39"/>
      <c r="AT60" s="39"/>
      <c r="AU60" s="39"/>
      <c r="AV60" s="39"/>
      <c r="AW60" s="39"/>
      <c r="AX60" s="39"/>
      <c r="AY60" s="39"/>
      <c r="AZ60" s="39"/>
      <c r="BA60" s="39"/>
      <c r="BB60" s="39"/>
      <c r="BC60" s="39"/>
      <c r="BD60" s="39"/>
      <c r="BE60" s="39"/>
      <c r="BF60" s="39"/>
      <c r="BG60" s="40"/>
      <c r="BH60" s="19"/>
      <c r="BI60" s="38"/>
      <c r="BJ60" s="39"/>
      <c r="BK60" s="39"/>
      <c r="BL60" s="39"/>
      <c r="BM60" s="39"/>
      <c r="BN60" s="39"/>
      <c r="BO60" s="39"/>
      <c r="BP60" s="39"/>
      <c r="BQ60" s="39"/>
      <c r="BR60" s="39"/>
      <c r="BS60" s="39"/>
      <c r="BT60" s="39"/>
      <c r="BU60" s="39"/>
      <c r="BV60" s="39"/>
      <c r="BW60" s="39"/>
      <c r="BX60" s="39"/>
      <c r="BY60" s="39"/>
      <c r="BZ60" s="40"/>
      <c r="CA60" s="19"/>
      <c r="CB60" s="38"/>
      <c r="CC60" s="39"/>
      <c r="CD60" s="39"/>
      <c r="CE60" s="39"/>
      <c r="CF60" s="39"/>
      <c r="CG60" s="39"/>
      <c r="CH60" s="39"/>
      <c r="CI60" s="39"/>
      <c r="CJ60" s="39"/>
      <c r="CK60" s="39"/>
      <c r="CL60" s="39"/>
      <c r="CM60" s="39"/>
      <c r="CN60" s="39"/>
      <c r="CO60" s="39"/>
      <c r="CP60" s="39"/>
      <c r="CQ60" s="39"/>
      <c r="CR60" s="39"/>
      <c r="CS60" s="39"/>
      <c r="CT60" s="40"/>
      <c r="CU60" s="19"/>
      <c r="CV60" s="38"/>
      <c r="CW60" s="39"/>
      <c r="CX60" s="39"/>
      <c r="CY60" s="39"/>
      <c r="CZ60" s="39"/>
      <c r="DA60" s="39"/>
      <c r="DB60" s="39"/>
      <c r="DC60" s="39"/>
      <c r="DD60" s="39"/>
      <c r="DE60" s="39"/>
      <c r="DF60" s="39"/>
      <c r="DG60" s="39"/>
      <c r="DH60" s="39"/>
      <c r="DI60" s="39"/>
      <c r="DJ60" s="39"/>
      <c r="DK60" s="39"/>
      <c r="DL60" s="39"/>
      <c r="DM60" s="39"/>
      <c r="DN60" s="40"/>
      <c r="DO60" s="76"/>
      <c r="DP60" s="19"/>
      <c r="DQ60" s="19"/>
      <c r="DR60" s="19"/>
      <c r="DS60" s="13"/>
    </row>
    <row r="61" spans="1:124" ht="12" customHeight="1">
      <c r="A61" s="12"/>
      <c r="B61" s="18"/>
      <c r="C61" s="19"/>
      <c r="D61" s="19"/>
      <c r="E61" s="19"/>
      <c r="F61" s="73"/>
      <c r="G61" s="146"/>
      <c r="H61" s="147"/>
      <c r="I61" s="147"/>
      <c r="J61" s="147"/>
      <c r="K61" s="147"/>
      <c r="L61" s="147"/>
      <c r="M61" s="147"/>
      <c r="N61" s="147"/>
      <c r="O61" s="147"/>
      <c r="P61" s="147"/>
      <c r="Q61" s="147"/>
      <c r="R61" s="147"/>
      <c r="S61" s="147"/>
      <c r="T61" s="147"/>
      <c r="U61" s="147"/>
      <c r="V61" s="148"/>
      <c r="W61" s="19"/>
      <c r="X61" s="33"/>
      <c r="Y61" s="128" t="s">
        <v>945</v>
      </c>
      <c r="Z61" s="128"/>
      <c r="AA61" s="128"/>
      <c r="AB61" s="128"/>
      <c r="AC61" s="128"/>
      <c r="AD61" s="128"/>
      <c r="AE61" s="128"/>
      <c r="AF61" s="23" t="s">
        <v>937</v>
      </c>
      <c r="AG61" s="128" t="s">
        <v>946</v>
      </c>
      <c r="AH61" s="128"/>
      <c r="AI61" s="128"/>
      <c r="AJ61" s="128"/>
      <c r="AK61" s="128"/>
      <c r="AL61" s="128"/>
      <c r="AM61" s="128"/>
      <c r="AN61" s="34"/>
      <c r="AO61" s="19"/>
      <c r="AP61" s="33"/>
      <c r="AQ61" s="128" t="s">
        <v>945</v>
      </c>
      <c r="AR61" s="128"/>
      <c r="AS61" s="128"/>
      <c r="AT61" s="128"/>
      <c r="AU61" s="128"/>
      <c r="AV61" s="128"/>
      <c r="AW61" s="128"/>
      <c r="AX61" s="128"/>
      <c r="AY61" s="23" t="s">
        <v>937</v>
      </c>
      <c r="AZ61" s="128" t="s">
        <v>946</v>
      </c>
      <c r="BA61" s="128"/>
      <c r="BB61" s="128"/>
      <c r="BC61" s="128"/>
      <c r="BD61" s="128"/>
      <c r="BE61" s="128"/>
      <c r="BF61" s="128"/>
      <c r="BG61" s="34"/>
      <c r="BH61" s="19"/>
      <c r="BI61" s="33"/>
      <c r="BJ61" s="128" t="s">
        <v>945</v>
      </c>
      <c r="BK61" s="128"/>
      <c r="BL61" s="128"/>
      <c r="BM61" s="128"/>
      <c r="BN61" s="128"/>
      <c r="BO61" s="128"/>
      <c r="BP61" s="128"/>
      <c r="BQ61" s="23" t="s">
        <v>937</v>
      </c>
      <c r="BR61" s="128" t="s">
        <v>946</v>
      </c>
      <c r="BS61" s="128"/>
      <c r="BT61" s="128"/>
      <c r="BU61" s="128"/>
      <c r="BV61" s="128"/>
      <c r="BW61" s="128"/>
      <c r="BX61" s="128"/>
      <c r="BY61" s="128"/>
      <c r="BZ61" s="34"/>
      <c r="CA61" s="19"/>
      <c r="CB61" s="33"/>
      <c r="CC61" s="128" t="s">
        <v>945</v>
      </c>
      <c r="CD61" s="128"/>
      <c r="CE61" s="128"/>
      <c r="CF61" s="128"/>
      <c r="CG61" s="128"/>
      <c r="CH61" s="128"/>
      <c r="CI61" s="128"/>
      <c r="CJ61" s="128"/>
      <c r="CK61" s="23" t="s">
        <v>937</v>
      </c>
      <c r="CL61" s="128" t="s">
        <v>946</v>
      </c>
      <c r="CM61" s="128"/>
      <c r="CN61" s="128"/>
      <c r="CO61" s="128"/>
      <c r="CP61" s="128"/>
      <c r="CQ61" s="128"/>
      <c r="CR61" s="128"/>
      <c r="CS61" s="128"/>
      <c r="CT61" s="34"/>
      <c r="CU61" s="19"/>
      <c r="CV61" s="33"/>
      <c r="CW61" s="128" t="s">
        <v>945</v>
      </c>
      <c r="CX61" s="128"/>
      <c r="CY61" s="128"/>
      <c r="CZ61" s="128"/>
      <c r="DA61" s="128"/>
      <c r="DB61" s="128"/>
      <c r="DC61" s="128"/>
      <c r="DD61" s="128"/>
      <c r="DE61" s="23" t="s">
        <v>937</v>
      </c>
      <c r="DF61" s="128" t="s">
        <v>946</v>
      </c>
      <c r="DG61" s="128"/>
      <c r="DH61" s="128"/>
      <c r="DI61" s="128"/>
      <c r="DJ61" s="128"/>
      <c r="DK61" s="128"/>
      <c r="DL61" s="128"/>
      <c r="DM61" s="128"/>
      <c r="DN61" s="34"/>
      <c r="DO61" s="76"/>
      <c r="DP61" s="19"/>
      <c r="DQ61" s="19"/>
      <c r="DR61" s="19"/>
      <c r="DS61" s="13"/>
    </row>
    <row r="62" spans="1:124" ht="12" customHeight="1">
      <c r="A62" s="12"/>
      <c r="B62" s="18"/>
      <c r="C62" s="19"/>
      <c r="D62" s="19"/>
      <c r="E62" s="19"/>
      <c r="F62" s="73"/>
      <c r="G62" s="146"/>
      <c r="H62" s="147"/>
      <c r="I62" s="147"/>
      <c r="J62" s="147"/>
      <c r="K62" s="147"/>
      <c r="L62" s="147"/>
      <c r="M62" s="147"/>
      <c r="N62" s="147"/>
      <c r="O62" s="147"/>
      <c r="P62" s="147"/>
      <c r="Q62" s="147"/>
      <c r="R62" s="147"/>
      <c r="S62" s="147"/>
      <c r="T62" s="147"/>
      <c r="U62" s="147"/>
      <c r="V62" s="148"/>
      <c r="W62" s="19"/>
      <c r="X62" s="33"/>
      <c r="Y62" s="128" t="s">
        <v>947</v>
      </c>
      <c r="Z62" s="128"/>
      <c r="AA62" s="128"/>
      <c r="AB62" s="26" t="s">
        <v>948</v>
      </c>
      <c r="AC62" s="128" t="s">
        <v>949</v>
      </c>
      <c r="AD62" s="128"/>
      <c r="AE62" s="128"/>
      <c r="AF62" s="23"/>
      <c r="AG62" s="128" t="s">
        <v>947</v>
      </c>
      <c r="AH62" s="128"/>
      <c r="AI62" s="128"/>
      <c r="AJ62" s="26" t="s">
        <v>948</v>
      </c>
      <c r="AK62" s="128" t="s">
        <v>949</v>
      </c>
      <c r="AL62" s="128"/>
      <c r="AM62" s="128"/>
      <c r="AN62" s="34"/>
      <c r="AO62" s="19"/>
      <c r="AP62" s="33"/>
      <c r="AQ62" s="128" t="s">
        <v>947</v>
      </c>
      <c r="AR62" s="128"/>
      <c r="AS62" s="128"/>
      <c r="AT62" s="128"/>
      <c r="AU62" s="26" t="s">
        <v>948</v>
      </c>
      <c r="AV62" s="128" t="s">
        <v>949</v>
      </c>
      <c r="AW62" s="128"/>
      <c r="AX62" s="128"/>
      <c r="AY62" s="23"/>
      <c r="AZ62" s="128" t="s">
        <v>947</v>
      </c>
      <c r="BA62" s="128"/>
      <c r="BB62" s="128"/>
      <c r="BC62" s="26" t="s">
        <v>948</v>
      </c>
      <c r="BD62" s="128" t="s">
        <v>949</v>
      </c>
      <c r="BE62" s="128"/>
      <c r="BF62" s="128"/>
      <c r="BG62" s="34"/>
      <c r="BH62" s="19"/>
      <c r="BI62" s="33"/>
      <c r="BJ62" s="128" t="s">
        <v>947</v>
      </c>
      <c r="BK62" s="128"/>
      <c r="BL62" s="128"/>
      <c r="BM62" s="26" t="s">
        <v>948</v>
      </c>
      <c r="BN62" s="128" t="s">
        <v>949</v>
      </c>
      <c r="BO62" s="128"/>
      <c r="BP62" s="128"/>
      <c r="BQ62" s="23"/>
      <c r="BR62" s="128" t="s">
        <v>947</v>
      </c>
      <c r="BS62" s="128"/>
      <c r="BT62" s="128"/>
      <c r="BU62" s="26" t="s">
        <v>948</v>
      </c>
      <c r="BV62" s="128" t="s">
        <v>949</v>
      </c>
      <c r="BW62" s="128"/>
      <c r="BX62" s="128"/>
      <c r="BY62" s="128"/>
      <c r="BZ62" s="34"/>
      <c r="CA62" s="19"/>
      <c r="CB62" s="33"/>
      <c r="CC62" s="128" t="s">
        <v>947</v>
      </c>
      <c r="CD62" s="128"/>
      <c r="CE62" s="128"/>
      <c r="CF62" s="132" t="s">
        <v>948</v>
      </c>
      <c r="CG62" s="132"/>
      <c r="CH62" s="128" t="s">
        <v>949</v>
      </c>
      <c r="CI62" s="128"/>
      <c r="CJ62" s="128"/>
      <c r="CK62" s="23"/>
      <c r="CL62" s="128" t="s">
        <v>947</v>
      </c>
      <c r="CM62" s="128"/>
      <c r="CN62" s="128"/>
      <c r="CO62" s="128"/>
      <c r="CP62" s="26" t="s">
        <v>948</v>
      </c>
      <c r="CQ62" s="128" t="s">
        <v>949</v>
      </c>
      <c r="CR62" s="128"/>
      <c r="CS62" s="128"/>
      <c r="CT62" s="34"/>
      <c r="CU62" s="19"/>
      <c r="CV62" s="33"/>
      <c r="CW62" s="128" t="s">
        <v>947</v>
      </c>
      <c r="CX62" s="128"/>
      <c r="CY62" s="128"/>
      <c r="CZ62" s="132" t="s">
        <v>948</v>
      </c>
      <c r="DA62" s="132"/>
      <c r="DB62" s="128" t="s">
        <v>949</v>
      </c>
      <c r="DC62" s="128"/>
      <c r="DD62" s="128"/>
      <c r="DE62" s="23"/>
      <c r="DF62" s="128" t="s">
        <v>947</v>
      </c>
      <c r="DG62" s="128"/>
      <c r="DH62" s="128"/>
      <c r="DI62" s="132" t="s">
        <v>948</v>
      </c>
      <c r="DJ62" s="132"/>
      <c r="DK62" s="128" t="s">
        <v>949</v>
      </c>
      <c r="DL62" s="128"/>
      <c r="DM62" s="128"/>
      <c r="DN62" s="34"/>
      <c r="DO62" s="76"/>
      <c r="DP62" s="19"/>
      <c r="DQ62" s="19"/>
      <c r="DR62" s="19"/>
      <c r="DS62" s="13"/>
    </row>
    <row r="63" spans="1:124" ht="20.100000000000001" customHeight="1">
      <c r="A63" s="12"/>
      <c r="B63" s="18"/>
      <c r="C63" s="19"/>
      <c r="D63" s="19"/>
      <c r="E63" s="19"/>
      <c r="F63" s="73"/>
      <c r="G63" s="146"/>
      <c r="H63" s="147"/>
      <c r="I63" s="147"/>
      <c r="J63" s="147"/>
      <c r="K63" s="147"/>
      <c r="L63" s="147"/>
      <c r="M63" s="147"/>
      <c r="N63" s="147"/>
      <c r="O63" s="147"/>
      <c r="P63" s="147"/>
      <c r="Q63" s="147"/>
      <c r="R63" s="147"/>
      <c r="S63" s="147"/>
      <c r="T63" s="147"/>
      <c r="U63" s="147"/>
      <c r="V63" s="148"/>
      <c r="W63" s="19"/>
      <c r="X63" s="33"/>
      <c r="Y63" s="129"/>
      <c r="Z63" s="129"/>
      <c r="AA63" s="129"/>
      <c r="AB63" s="28" t="s">
        <v>948</v>
      </c>
      <c r="AC63" s="129"/>
      <c r="AD63" s="129"/>
      <c r="AE63" s="129"/>
      <c r="AF63" s="25"/>
      <c r="AG63" s="129"/>
      <c r="AH63" s="129"/>
      <c r="AI63" s="129"/>
      <c r="AJ63" s="28" t="s">
        <v>948</v>
      </c>
      <c r="AK63" s="129"/>
      <c r="AL63" s="129"/>
      <c r="AM63" s="129"/>
      <c r="AN63" s="34"/>
      <c r="AO63" s="19"/>
      <c r="AP63" s="33"/>
      <c r="AQ63" s="129"/>
      <c r="AR63" s="129"/>
      <c r="AS63" s="129"/>
      <c r="AT63" s="129"/>
      <c r="AU63" s="28" t="s">
        <v>948</v>
      </c>
      <c r="AV63" s="129"/>
      <c r="AW63" s="129"/>
      <c r="AX63" s="129"/>
      <c r="AY63" s="25"/>
      <c r="AZ63" s="129"/>
      <c r="BA63" s="129"/>
      <c r="BB63" s="129"/>
      <c r="BC63" s="28" t="s">
        <v>948</v>
      </c>
      <c r="BD63" s="129"/>
      <c r="BE63" s="129"/>
      <c r="BF63" s="129"/>
      <c r="BG63" s="34"/>
      <c r="BH63" s="19"/>
      <c r="BI63" s="33"/>
      <c r="BJ63" s="129"/>
      <c r="BK63" s="129"/>
      <c r="BL63" s="129"/>
      <c r="BM63" s="28" t="s">
        <v>948</v>
      </c>
      <c r="BN63" s="129"/>
      <c r="BO63" s="129"/>
      <c r="BP63" s="129"/>
      <c r="BQ63" s="25"/>
      <c r="BR63" s="129"/>
      <c r="BS63" s="129"/>
      <c r="BT63" s="129"/>
      <c r="BU63" s="28" t="s">
        <v>948</v>
      </c>
      <c r="BV63" s="129"/>
      <c r="BW63" s="129"/>
      <c r="BX63" s="129"/>
      <c r="BY63" s="129"/>
      <c r="BZ63" s="34"/>
      <c r="CA63" s="19"/>
      <c r="CB63" s="33"/>
      <c r="CC63" s="129"/>
      <c r="CD63" s="129"/>
      <c r="CE63" s="129"/>
      <c r="CF63" s="131" t="s">
        <v>948</v>
      </c>
      <c r="CG63" s="131"/>
      <c r="CH63" s="129"/>
      <c r="CI63" s="129"/>
      <c r="CJ63" s="129"/>
      <c r="CK63" s="25"/>
      <c r="CL63" s="129"/>
      <c r="CM63" s="129"/>
      <c r="CN63" s="129"/>
      <c r="CO63" s="129"/>
      <c r="CP63" s="28" t="s">
        <v>948</v>
      </c>
      <c r="CQ63" s="129"/>
      <c r="CR63" s="129"/>
      <c r="CS63" s="129"/>
      <c r="CT63" s="34"/>
      <c r="CU63" s="19"/>
      <c r="CV63" s="33"/>
      <c r="CW63" s="129"/>
      <c r="CX63" s="129"/>
      <c r="CY63" s="129"/>
      <c r="CZ63" s="131" t="s">
        <v>948</v>
      </c>
      <c r="DA63" s="131"/>
      <c r="DB63" s="129"/>
      <c r="DC63" s="129"/>
      <c r="DD63" s="129"/>
      <c r="DE63" s="25"/>
      <c r="DF63" s="129"/>
      <c r="DG63" s="129"/>
      <c r="DH63" s="129"/>
      <c r="DI63" s="131" t="s">
        <v>948</v>
      </c>
      <c r="DJ63" s="131"/>
      <c r="DK63" s="129"/>
      <c r="DL63" s="129"/>
      <c r="DM63" s="129"/>
      <c r="DN63" s="34"/>
      <c r="DO63" s="76"/>
      <c r="DP63" s="19"/>
      <c r="DQ63" s="19"/>
      <c r="DR63" s="19"/>
      <c r="DS63" s="13"/>
    </row>
    <row r="64" spans="1:124" ht="5.0999999999999996" customHeight="1">
      <c r="A64" s="12"/>
      <c r="B64" s="18"/>
      <c r="C64" s="19"/>
      <c r="D64" s="19"/>
      <c r="E64" s="19"/>
      <c r="F64" s="73"/>
      <c r="G64" s="149"/>
      <c r="H64" s="150"/>
      <c r="I64" s="150"/>
      <c r="J64" s="150"/>
      <c r="K64" s="150"/>
      <c r="L64" s="150"/>
      <c r="M64" s="150"/>
      <c r="N64" s="150"/>
      <c r="O64" s="150"/>
      <c r="P64" s="150"/>
      <c r="Q64" s="150"/>
      <c r="R64" s="150"/>
      <c r="S64" s="150"/>
      <c r="T64" s="150"/>
      <c r="U64" s="150"/>
      <c r="V64" s="151"/>
      <c r="W64" s="19"/>
      <c r="X64" s="35"/>
      <c r="Y64" s="36"/>
      <c r="Z64" s="36"/>
      <c r="AA64" s="36"/>
      <c r="AB64" s="36"/>
      <c r="AC64" s="36"/>
      <c r="AD64" s="36"/>
      <c r="AE64" s="36"/>
      <c r="AF64" s="36"/>
      <c r="AG64" s="36"/>
      <c r="AH64" s="36"/>
      <c r="AI64" s="36"/>
      <c r="AJ64" s="36"/>
      <c r="AK64" s="36"/>
      <c r="AL64" s="36"/>
      <c r="AM64" s="36"/>
      <c r="AN64" s="37"/>
      <c r="AO64" s="19"/>
      <c r="AP64" s="35"/>
      <c r="AQ64" s="36"/>
      <c r="AR64" s="36"/>
      <c r="AS64" s="36"/>
      <c r="AT64" s="36"/>
      <c r="AU64" s="36"/>
      <c r="AV64" s="36"/>
      <c r="AW64" s="36"/>
      <c r="AX64" s="36"/>
      <c r="AY64" s="36"/>
      <c r="AZ64" s="36"/>
      <c r="BA64" s="36"/>
      <c r="BB64" s="36"/>
      <c r="BC64" s="36"/>
      <c r="BD64" s="36"/>
      <c r="BE64" s="36"/>
      <c r="BF64" s="36"/>
      <c r="BG64" s="37"/>
      <c r="BH64" s="19"/>
      <c r="BI64" s="35"/>
      <c r="BJ64" s="36"/>
      <c r="BK64" s="36"/>
      <c r="BL64" s="36"/>
      <c r="BM64" s="36"/>
      <c r="BN64" s="36"/>
      <c r="BO64" s="36"/>
      <c r="BP64" s="36"/>
      <c r="BQ64" s="36"/>
      <c r="BR64" s="36"/>
      <c r="BS64" s="36"/>
      <c r="BT64" s="36"/>
      <c r="BU64" s="36"/>
      <c r="BV64" s="36"/>
      <c r="BW64" s="36"/>
      <c r="BX64" s="36"/>
      <c r="BY64" s="36"/>
      <c r="BZ64" s="37"/>
      <c r="CA64" s="19"/>
      <c r="CB64" s="35"/>
      <c r="CC64" s="36"/>
      <c r="CD64" s="36"/>
      <c r="CE64" s="36"/>
      <c r="CF64" s="36"/>
      <c r="CG64" s="36"/>
      <c r="CH64" s="36"/>
      <c r="CI64" s="36"/>
      <c r="CJ64" s="36"/>
      <c r="CK64" s="36"/>
      <c r="CL64" s="36"/>
      <c r="CM64" s="36"/>
      <c r="CN64" s="36"/>
      <c r="CO64" s="36"/>
      <c r="CP64" s="36"/>
      <c r="CQ64" s="36"/>
      <c r="CR64" s="36"/>
      <c r="CS64" s="36"/>
      <c r="CT64" s="37"/>
      <c r="CU64" s="19"/>
      <c r="CV64" s="35"/>
      <c r="CW64" s="36"/>
      <c r="CX64" s="36"/>
      <c r="CY64" s="36"/>
      <c r="CZ64" s="36"/>
      <c r="DA64" s="36"/>
      <c r="DB64" s="36"/>
      <c r="DC64" s="36"/>
      <c r="DD64" s="36"/>
      <c r="DE64" s="36"/>
      <c r="DF64" s="36"/>
      <c r="DG64" s="36"/>
      <c r="DH64" s="36"/>
      <c r="DI64" s="36"/>
      <c r="DJ64" s="36"/>
      <c r="DK64" s="36"/>
      <c r="DL64" s="36"/>
      <c r="DM64" s="36"/>
      <c r="DN64" s="37"/>
      <c r="DO64" s="76"/>
      <c r="DP64" s="19"/>
      <c r="DQ64" s="19"/>
      <c r="DR64" s="19"/>
      <c r="DS64" s="13"/>
    </row>
    <row r="65" spans="1:124" ht="5.0999999999999996" customHeight="1">
      <c r="A65" s="12"/>
      <c r="B65" s="18"/>
      <c r="C65" s="19"/>
      <c r="D65" s="19"/>
      <c r="E65" s="19"/>
      <c r="F65" s="74"/>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77"/>
      <c r="DP65" s="19"/>
      <c r="DQ65" s="19"/>
      <c r="DR65" s="19"/>
      <c r="DS65" s="12"/>
      <c r="DT65" s="13"/>
    </row>
    <row r="66" spans="1:124" ht="15" customHeight="1">
      <c r="A66" s="12"/>
      <c r="B66" s="18"/>
      <c r="C66" s="19"/>
      <c r="D66" s="19"/>
      <c r="E66" s="19"/>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19"/>
      <c r="DQ66" s="19"/>
      <c r="DR66" s="19"/>
      <c r="DS66" s="12"/>
      <c r="DT66" s="13"/>
    </row>
    <row r="67" spans="1:124" ht="5.0999999999999996" customHeight="1">
      <c r="A67" s="12"/>
      <c r="B67" s="18"/>
      <c r="C67" s="19"/>
      <c r="D67" s="19"/>
      <c r="E67" s="19"/>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19"/>
      <c r="DQ67" s="19"/>
      <c r="DR67" s="19"/>
      <c r="DS67" s="12"/>
      <c r="DT67" s="13"/>
    </row>
    <row r="68" spans="1:124" ht="15" customHeight="1">
      <c r="A68" s="12"/>
      <c r="B68" s="18"/>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2"/>
      <c r="DT68" s="13"/>
    </row>
    <row r="69" spans="1:124" ht="30" customHeight="1">
      <c r="A69" s="12"/>
      <c r="B69" s="18"/>
      <c r="C69" s="19"/>
      <c r="D69" s="19"/>
      <c r="E69" s="19"/>
      <c r="F69" s="161" t="s">
        <v>952</v>
      </c>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62"/>
      <c r="AL69" s="162"/>
      <c r="AM69" s="162"/>
      <c r="AN69" s="162"/>
      <c r="AO69" s="162"/>
      <c r="AP69" s="162"/>
      <c r="AQ69" s="162"/>
      <c r="AR69" s="162"/>
      <c r="AS69" s="162"/>
      <c r="AT69" s="162"/>
      <c r="AU69" s="162"/>
      <c r="AV69" s="162"/>
      <c r="AW69" s="162"/>
      <c r="AX69" s="162"/>
      <c r="AY69" s="162"/>
      <c r="AZ69" s="162"/>
      <c r="BA69" s="162"/>
      <c r="BB69" s="162"/>
      <c r="BC69" s="162"/>
      <c r="BD69" s="162"/>
      <c r="BE69" s="162"/>
      <c r="BF69" s="162"/>
      <c r="BG69" s="162"/>
      <c r="BH69" s="162"/>
      <c r="BI69" s="162"/>
      <c r="BJ69" s="162"/>
      <c r="BK69" s="162"/>
      <c r="BL69" s="162"/>
      <c r="BM69" s="162"/>
      <c r="BN69" s="162"/>
      <c r="BO69" s="162"/>
      <c r="BP69" s="162"/>
      <c r="BQ69" s="162"/>
      <c r="BR69" s="162"/>
      <c r="BS69" s="162"/>
      <c r="BT69" s="162"/>
      <c r="BU69" s="162"/>
      <c r="BV69" s="162"/>
      <c r="BW69" s="162"/>
      <c r="BX69" s="162"/>
      <c r="BY69" s="162"/>
      <c r="BZ69" s="162"/>
      <c r="CA69" s="162"/>
      <c r="CB69" s="162"/>
      <c r="CC69" s="162"/>
      <c r="CD69" s="162"/>
      <c r="CE69" s="162"/>
      <c r="CF69" s="162"/>
      <c r="CG69" s="162"/>
      <c r="CH69" s="162"/>
      <c r="CI69" s="162"/>
      <c r="CJ69" s="162"/>
      <c r="CK69" s="162"/>
      <c r="CL69" s="162"/>
      <c r="CM69" s="162"/>
      <c r="CN69" s="162"/>
      <c r="CO69" s="162"/>
      <c r="CP69" s="162"/>
      <c r="CQ69" s="162"/>
      <c r="CR69" s="162"/>
      <c r="CS69" s="162"/>
      <c r="CT69" s="162"/>
      <c r="CU69" s="162"/>
      <c r="CV69" s="162"/>
      <c r="CW69" s="162"/>
      <c r="CX69" s="162"/>
      <c r="CY69" s="162"/>
      <c r="CZ69" s="162"/>
      <c r="DA69" s="162"/>
      <c r="DB69" s="162"/>
      <c r="DC69" s="162"/>
      <c r="DD69" s="162"/>
      <c r="DE69" s="162"/>
      <c r="DF69" s="162"/>
      <c r="DG69" s="162"/>
      <c r="DH69" s="162"/>
      <c r="DI69" s="162"/>
      <c r="DJ69" s="162"/>
      <c r="DK69" s="162"/>
      <c r="DL69" s="162"/>
      <c r="DM69" s="162"/>
      <c r="DN69" s="163"/>
      <c r="DO69" s="19"/>
      <c r="DP69" s="19"/>
      <c r="DQ69" s="19"/>
      <c r="DR69" s="19"/>
      <c r="DS69" s="12"/>
      <c r="DT69" s="13"/>
    </row>
    <row r="70" spans="1:124" ht="15" customHeight="1">
      <c r="A70" s="12"/>
      <c r="B70" s="18"/>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2"/>
      <c r="DT70" s="13"/>
    </row>
    <row r="71" spans="1:124" ht="5.0999999999999996" customHeight="1">
      <c r="A71" s="12"/>
      <c r="B71" s="18"/>
      <c r="C71" s="19"/>
      <c r="D71" s="19"/>
      <c r="E71" s="19"/>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19"/>
      <c r="DQ71" s="19"/>
      <c r="DR71" s="19"/>
      <c r="DS71" s="12"/>
      <c r="DT71" s="13"/>
    </row>
    <row r="72" spans="1:124" ht="15" customHeight="1">
      <c r="A72" s="12"/>
      <c r="B72" s="18"/>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2"/>
      <c r="DT72" s="13"/>
    </row>
    <row r="73" spans="1:124" ht="5.0999999999999996" customHeight="1">
      <c r="A73" s="12"/>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3"/>
    </row>
    <row r="74" spans="1:124" s="27" customFormat="1" ht="5.0999999999999996" customHeight="1">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29"/>
      <c r="DT74" s="5"/>
    </row>
    <row r="75" spans="1:124" s="5" customFormat="1" ht="15" customHeight="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row>
    <row r="76" spans="1:124" s="5" customFormat="1" ht="42" customHeight="1">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row>
    <row r="77" spans="1:124" s="17" customFormat="1" ht="15" customHeight="1">
      <c r="A77" s="14"/>
      <c r="B77" s="11"/>
      <c r="C77" s="15"/>
      <c r="D77" s="15"/>
      <c r="E77" s="15"/>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24"/>
      <c r="DP77" s="15"/>
      <c r="DQ77" s="15"/>
      <c r="DR77" s="15"/>
      <c r="DS77" s="12"/>
      <c r="DT77" s="16"/>
    </row>
    <row r="78" spans="1:124" ht="5.0999999999999996" customHeight="1" thickBot="1">
      <c r="A78" s="12"/>
      <c r="B78" s="18"/>
      <c r="C78" s="19"/>
      <c r="D78" s="19"/>
      <c r="E78" s="19"/>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19"/>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19"/>
      <c r="DQ78" s="19"/>
      <c r="DR78" s="19"/>
      <c r="DS78" s="12"/>
      <c r="DT78" s="13"/>
    </row>
    <row r="79" spans="1:124" ht="25.5" customHeight="1" thickTop="1" thickBot="1">
      <c r="A79" s="12"/>
      <c r="B79" s="18"/>
      <c r="C79" s="19"/>
      <c r="D79" s="19"/>
      <c r="E79" s="19"/>
      <c r="F79" s="133" t="s">
        <v>930</v>
      </c>
      <c r="G79" s="133"/>
      <c r="H79" s="133"/>
      <c r="I79" s="133"/>
      <c r="J79" s="133"/>
      <c r="K79" s="133"/>
      <c r="L79" s="133"/>
      <c r="M79" s="133"/>
      <c r="N79" s="133"/>
      <c r="O79" s="133"/>
      <c r="P79" s="133"/>
      <c r="Q79" s="133"/>
      <c r="R79" s="133"/>
      <c r="S79" s="133"/>
      <c r="T79" s="133"/>
      <c r="U79" s="133"/>
      <c r="V79" s="133"/>
      <c r="W79" s="164" t="s">
        <v>953</v>
      </c>
      <c r="X79" s="165"/>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c r="BF79" s="165"/>
      <c r="BG79" s="165"/>
      <c r="BH79" s="165"/>
      <c r="BI79" s="165"/>
      <c r="BJ79" s="165"/>
      <c r="BK79" s="165"/>
      <c r="BL79" s="165"/>
      <c r="BM79" s="165"/>
      <c r="BN79" s="165"/>
      <c r="BO79" s="165"/>
      <c r="BP79" s="166"/>
      <c r="BQ79" s="20"/>
      <c r="BR79" s="19"/>
      <c r="BS79" s="167" t="s">
        <v>954</v>
      </c>
      <c r="BT79" s="167"/>
      <c r="BU79" s="167"/>
      <c r="BV79" s="167"/>
      <c r="BW79" s="167"/>
      <c r="BX79" s="167"/>
      <c r="BY79" s="167"/>
      <c r="BZ79" s="167"/>
      <c r="CA79" s="167"/>
      <c r="CB79" s="167"/>
      <c r="CC79" s="167"/>
      <c r="CD79" s="167"/>
      <c r="CE79" s="167"/>
      <c r="CF79" s="167"/>
      <c r="CG79" s="167"/>
      <c r="CH79" s="167"/>
      <c r="CI79" s="167"/>
      <c r="CJ79" s="164" t="s">
        <v>955</v>
      </c>
      <c r="CK79" s="165"/>
      <c r="CL79" s="165"/>
      <c r="CM79" s="165"/>
      <c r="CN79" s="165"/>
      <c r="CO79" s="165"/>
      <c r="CP79" s="165"/>
      <c r="CQ79" s="165"/>
      <c r="CR79" s="165"/>
      <c r="CS79" s="165"/>
      <c r="CT79" s="165"/>
      <c r="CU79" s="165"/>
      <c r="CV79" s="165"/>
      <c r="CW79" s="165"/>
      <c r="CX79" s="165"/>
      <c r="CY79" s="165"/>
      <c r="CZ79" s="165"/>
      <c r="DA79" s="165"/>
      <c r="DB79" s="165"/>
      <c r="DC79" s="165"/>
      <c r="DD79" s="165"/>
      <c r="DE79" s="165"/>
      <c r="DF79" s="165"/>
      <c r="DG79" s="165"/>
      <c r="DH79" s="165"/>
      <c r="DI79" s="165"/>
      <c r="DJ79" s="165"/>
      <c r="DK79" s="165"/>
      <c r="DL79" s="165"/>
      <c r="DM79" s="165"/>
      <c r="DN79" s="166"/>
      <c r="DO79" s="20"/>
      <c r="DP79" s="19"/>
      <c r="DQ79" s="19"/>
      <c r="DR79" s="19"/>
      <c r="DS79" s="12"/>
      <c r="DT79" s="13"/>
    </row>
    <row r="80" spans="1:124" ht="5.0999999999999996" customHeight="1" thickTop="1">
      <c r="A80" s="12"/>
      <c r="B80" s="18"/>
      <c r="C80" s="19"/>
      <c r="D80" s="19"/>
      <c r="E80" s="19"/>
      <c r="F80" s="53"/>
      <c r="G80" s="53"/>
      <c r="H80" s="53"/>
      <c r="I80" s="53"/>
      <c r="J80" s="53"/>
      <c r="K80" s="53"/>
      <c r="L80" s="53"/>
      <c r="M80" s="53"/>
      <c r="N80" s="53"/>
      <c r="O80" s="53"/>
      <c r="P80" s="53"/>
      <c r="Q80" s="53"/>
      <c r="R80" s="53"/>
      <c r="S80" s="53"/>
      <c r="T80" s="53"/>
      <c r="U80" s="53"/>
      <c r="V80" s="53"/>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19"/>
      <c r="BS80" s="55"/>
      <c r="BT80" s="55"/>
      <c r="BU80" s="55"/>
      <c r="BV80" s="55"/>
      <c r="BW80" s="55"/>
      <c r="BX80" s="55"/>
      <c r="BY80" s="55"/>
      <c r="BZ80" s="55"/>
      <c r="CA80" s="55"/>
      <c r="CB80" s="55"/>
      <c r="CC80" s="55"/>
      <c r="CD80" s="55"/>
      <c r="CE80" s="55"/>
      <c r="CF80" s="55"/>
      <c r="CG80" s="55"/>
      <c r="CH80" s="55"/>
      <c r="CI80" s="55"/>
      <c r="CJ80" s="20"/>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19"/>
      <c r="DQ80" s="19"/>
      <c r="DR80" s="19"/>
      <c r="DS80" s="12"/>
      <c r="DT80" s="13"/>
    </row>
    <row r="81" spans="1:124" ht="5.0999999999999996" customHeight="1">
      <c r="A81" s="12"/>
      <c r="B81" s="18"/>
      <c r="C81" s="19"/>
      <c r="D81" s="19"/>
      <c r="E81" s="19"/>
      <c r="F81" s="54"/>
      <c r="G81" s="54"/>
      <c r="H81" s="54"/>
      <c r="I81" s="54"/>
      <c r="J81" s="54"/>
      <c r="K81" s="54"/>
      <c r="L81" s="54"/>
      <c r="M81" s="54"/>
      <c r="N81" s="54"/>
      <c r="O81" s="54"/>
      <c r="P81" s="54"/>
      <c r="Q81" s="54"/>
      <c r="R81" s="54"/>
      <c r="S81" s="54"/>
      <c r="T81" s="54"/>
      <c r="U81" s="54"/>
      <c r="V81" s="54"/>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56"/>
      <c r="BT81" s="56"/>
      <c r="BU81" s="56"/>
      <c r="BV81" s="56"/>
      <c r="BW81" s="56"/>
      <c r="BX81" s="56"/>
      <c r="BY81" s="56"/>
      <c r="BZ81" s="56"/>
      <c r="CA81" s="56"/>
      <c r="CB81" s="56"/>
      <c r="CC81" s="56"/>
      <c r="CD81" s="56"/>
      <c r="CE81" s="56"/>
      <c r="CF81" s="56"/>
      <c r="CG81" s="56"/>
      <c r="CH81" s="56"/>
      <c r="CI81" s="56"/>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2"/>
      <c r="DT81" s="13"/>
    </row>
    <row r="82" spans="1:124" ht="5.0999999999999996" customHeight="1" thickBot="1">
      <c r="A82" s="12"/>
      <c r="B82" s="18"/>
      <c r="C82" s="19"/>
      <c r="D82" s="19"/>
      <c r="E82" s="19"/>
      <c r="F82" s="53"/>
      <c r="G82" s="53"/>
      <c r="H82" s="53"/>
      <c r="I82" s="53"/>
      <c r="J82" s="53"/>
      <c r="K82" s="53"/>
      <c r="L82" s="53"/>
      <c r="M82" s="53"/>
      <c r="N82" s="53"/>
      <c r="O82" s="53"/>
      <c r="P82" s="53"/>
      <c r="Q82" s="53"/>
      <c r="R82" s="53"/>
      <c r="S82" s="53"/>
      <c r="T82" s="53"/>
      <c r="U82" s="53"/>
      <c r="V82" s="53"/>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19"/>
      <c r="BS82" s="55"/>
      <c r="BT82" s="55"/>
      <c r="BU82" s="55"/>
      <c r="BV82" s="55"/>
      <c r="BW82" s="55"/>
      <c r="BX82" s="55"/>
      <c r="BY82" s="55"/>
      <c r="BZ82" s="55"/>
      <c r="CA82" s="55"/>
      <c r="CB82" s="55"/>
      <c r="CC82" s="55"/>
      <c r="CD82" s="55"/>
      <c r="CE82" s="55"/>
      <c r="CF82" s="55"/>
      <c r="CG82" s="55"/>
      <c r="CH82" s="55"/>
      <c r="CI82" s="55"/>
      <c r="CJ82" s="20"/>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19"/>
      <c r="DQ82" s="19"/>
      <c r="DR82" s="19"/>
      <c r="DS82" s="12"/>
      <c r="DT82" s="13"/>
    </row>
    <row r="83" spans="1:124" ht="25.5" customHeight="1" thickTop="1" thickBot="1">
      <c r="A83" s="12"/>
      <c r="B83" s="18"/>
      <c r="C83" s="19"/>
      <c r="D83" s="19"/>
      <c r="E83" s="19"/>
      <c r="F83" s="133" t="s">
        <v>956</v>
      </c>
      <c r="G83" s="133"/>
      <c r="H83" s="133"/>
      <c r="I83" s="133"/>
      <c r="J83" s="133"/>
      <c r="K83" s="133"/>
      <c r="L83" s="133"/>
      <c r="M83" s="133"/>
      <c r="N83" s="133"/>
      <c r="O83" s="133"/>
      <c r="P83" s="133"/>
      <c r="Q83" s="133"/>
      <c r="R83" s="133"/>
      <c r="S83" s="133"/>
      <c r="T83" s="133"/>
      <c r="U83" s="133"/>
      <c r="V83" s="133"/>
      <c r="W83" s="164" t="s">
        <v>957</v>
      </c>
      <c r="X83" s="165"/>
      <c r="Y83" s="165"/>
      <c r="Z83" s="165"/>
      <c r="AA83" s="165"/>
      <c r="AB83" s="165"/>
      <c r="AC83" s="165"/>
      <c r="AD83" s="165"/>
      <c r="AE83" s="165"/>
      <c r="AF83" s="165"/>
      <c r="AG83" s="165"/>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c r="BF83" s="165"/>
      <c r="BG83" s="165"/>
      <c r="BH83" s="165"/>
      <c r="BI83" s="165"/>
      <c r="BJ83" s="165"/>
      <c r="BK83" s="165"/>
      <c r="BL83" s="165"/>
      <c r="BM83" s="165"/>
      <c r="BN83" s="165"/>
      <c r="BO83" s="165"/>
      <c r="BP83" s="166"/>
      <c r="BQ83" s="20"/>
      <c r="BR83" s="19"/>
      <c r="BS83" s="167" t="s">
        <v>958</v>
      </c>
      <c r="BT83" s="167"/>
      <c r="BU83" s="167"/>
      <c r="BV83" s="167"/>
      <c r="BW83" s="167"/>
      <c r="BX83" s="167"/>
      <c r="BY83" s="167"/>
      <c r="BZ83" s="167"/>
      <c r="CA83" s="167"/>
      <c r="CB83" s="167"/>
      <c r="CC83" s="167"/>
      <c r="CD83" s="167"/>
      <c r="CE83" s="167"/>
      <c r="CF83" s="167"/>
      <c r="CG83" s="167"/>
      <c r="CH83" s="167"/>
      <c r="CI83" s="167"/>
      <c r="CJ83" s="164" t="s">
        <v>959</v>
      </c>
      <c r="CK83" s="165"/>
      <c r="CL83" s="165"/>
      <c r="CM83" s="165"/>
      <c r="CN83" s="165"/>
      <c r="CO83" s="165"/>
      <c r="CP83" s="165"/>
      <c r="CQ83" s="165"/>
      <c r="CR83" s="165"/>
      <c r="CS83" s="165"/>
      <c r="CT83" s="165"/>
      <c r="CU83" s="165"/>
      <c r="CV83" s="165"/>
      <c r="CW83" s="165"/>
      <c r="CX83" s="165"/>
      <c r="CY83" s="165"/>
      <c r="CZ83" s="165"/>
      <c r="DA83" s="165"/>
      <c r="DB83" s="165"/>
      <c r="DC83" s="165"/>
      <c r="DD83" s="165"/>
      <c r="DE83" s="165"/>
      <c r="DF83" s="165"/>
      <c r="DG83" s="165"/>
      <c r="DH83" s="165"/>
      <c r="DI83" s="165"/>
      <c r="DJ83" s="165"/>
      <c r="DK83" s="165"/>
      <c r="DL83" s="165"/>
      <c r="DM83" s="165"/>
      <c r="DN83" s="166"/>
      <c r="DO83" s="20"/>
      <c r="DP83" s="19"/>
      <c r="DQ83" s="19"/>
      <c r="DR83" s="19"/>
      <c r="DS83" s="12"/>
      <c r="DT83" s="13"/>
    </row>
    <row r="84" spans="1:124" ht="5.0999999999999996" customHeight="1" thickTop="1">
      <c r="A84" s="12"/>
      <c r="B84" s="18"/>
      <c r="C84" s="19"/>
      <c r="D84" s="19"/>
      <c r="E84" s="19"/>
      <c r="F84" s="53"/>
      <c r="G84" s="53"/>
      <c r="H84" s="53"/>
      <c r="I84" s="53"/>
      <c r="J84" s="53"/>
      <c r="K84" s="53"/>
      <c r="L84" s="53"/>
      <c r="M84" s="53"/>
      <c r="N84" s="53"/>
      <c r="O84" s="53"/>
      <c r="P84" s="53"/>
      <c r="Q84" s="53"/>
      <c r="R84" s="53"/>
      <c r="S84" s="53"/>
      <c r="T84" s="53"/>
      <c r="U84" s="53"/>
      <c r="V84" s="53"/>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19"/>
      <c r="BS84" s="55"/>
      <c r="BT84" s="55"/>
      <c r="BU84" s="55"/>
      <c r="BV84" s="55"/>
      <c r="BW84" s="55"/>
      <c r="BX84" s="55"/>
      <c r="BY84" s="55"/>
      <c r="BZ84" s="55"/>
      <c r="CA84" s="55"/>
      <c r="CB84" s="55"/>
      <c r="CC84" s="55"/>
      <c r="CD84" s="55"/>
      <c r="CE84" s="55"/>
      <c r="CF84" s="55"/>
      <c r="CG84" s="55"/>
      <c r="CH84" s="55"/>
      <c r="CI84" s="55"/>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19"/>
      <c r="DQ84" s="19"/>
      <c r="DR84" s="19"/>
      <c r="DS84" s="12"/>
      <c r="DT84" s="13"/>
    </row>
    <row r="85" spans="1:124" ht="5.0999999999999996" customHeight="1">
      <c r="A85" s="12"/>
      <c r="B85" s="18"/>
      <c r="C85" s="19"/>
      <c r="D85" s="19"/>
      <c r="E85" s="19"/>
      <c r="F85" s="54"/>
      <c r="G85" s="54"/>
      <c r="H85" s="54"/>
      <c r="I85" s="54"/>
      <c r="J85" s="54"/>
      <c r="K85" s="54"/>
      <c r="L85" s="54"/>
      <c r="M85" s="54"/>
      <c r="N85" s="54"/>
      <c r="O85" s="54"/>
      <c r="P85" s="54"/>
      <c r="Q85" s="54"/>
      <c r="R85" s="54"/>
      <c r="S85" s="54"/>
      <c r="T85" s="54"/>
      <c r="U85" s="54"/>
      <c r="V85" s="54"/>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56"/>
      <c r="BT85" s="56"/>
      <c r="BU85" s="56"/>
      <c r="BV85" s="56"/>
      <c r="BW85" s="56"/>
      <c r="BX85" s="56"/>
      <c r="BY85" s="56"/>
      <c r="BZ85" s="56"/>
      <c r="CA85" s="56"/>
      <c r="CB85" s="56"/>
      <c r="CC85" s="56"/>
      <c r="CD85" s="56"/>
      <c r="CE85" s="56"/>
      <c r="CF85" s="56"/>
      <c r="CG85" s="56"/>
      <c r="CH85" s="56"/>
      <c r="CI85" s="56"/>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2"/>
      <c r="DT85" s="13"/>
    </row>
    <row r="86" spans="1:124" ht="5.0999999999999996" customHeight="1" thickBot="1">
      <c r="A86" s="12"/>
      <c r="B86" s="18"/>
      <c r="C86" s="19"/>
      <c r="D86" s="19"/>
      <c r="E86" s="19"/>
      <c r="F86" s="53"/>
      <c r="G86" s="53"/>
      <c r="H86" s="53"/>
      <c r="I86" s="53"/>
      <c r="J86" s="53"/>
      <c r="K86" s="53"/>
      <c r="L86" s="53"/>
      <c r="M86" s="53"/>
      <c r="N86" s="53"/>
      <c r="O86" s="53"/>
      <c r="P86" s="53"/>
      <c r="Q86" s="53"/>
      <c r="R86" s="53"/>
      <c r="S86" s="53"/>
      <c r="T86" s="53"/>
      <c r="U86" s="53"/>
      <c r="V86" s="53"/>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19"/>
      <c r="BS86" s="55"/>
      <c r="BT86" s="55"/>
      <c r="BU86" s="55"/>
      <c r="BV86" s="55"/>
      <c r="BW86" s="55"/>
      <c r="BX86" s="55"/>
      <c r="BY86" s="55"/>
      <c r="BZ86" s="55"/>
      <c r="CA86" s="55"/>
      <c r="CB86" s="55"/>
      <c r="CC86" s="55"/>
      <c r="CD86" s="55"/>
      <c r="CE86" s="55"/>
      <c r="CF86" s="55"/>
      <c r="CG86" s="55"/>
      <c r="CH86" s="55"/>
      <c r="CI86" s="55"/>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19"/>
      <c r="DQ86" s="19"/>
      <c r="DR86" s="19"/>
      <c r="DS86" s="12"/>
      <c r="DT86" s="13"/>
    </row>
    <row r="87" spans="1:124" ht="25.5" customHeight="1" thickTop="1" thickBot="1">
      <c r="A87" s="12"/>
      <c r="B87" s="18"/>
      <c r="C87" s="19"/>
      <c r="D87" s="19"/>
      <c r="E87" s="19"/>
      <c r="F87" s="133" t="s">
        <v>960</v>
      </c>
      <c r="G87" s="133"/>
      <c r="H87" s="133"/>
      <c r="I87" s="133"/>
      <c r="J87" s="133"/>
      <c r="K87" s="133"/>
      <c r="L87" s="133"/>
      <c r="M87" s="133"/>
      <c r="N87" s="133"/>
      <c r="O87" s="133"/>
      <c r="P87" s="133"/>
      <c r="Q87" s="133"/>
      <c r="R87" s="133"/>
      <c r="S87" s="133"/>
      <c r="T87" s="133"/>
      <c r="U87" s="133"/>
      <c r="V87" s="133"/>
      <c r="W87" s="164" t="s">
        <v>961</v>
      </c>
      <c r="X87" s="165"/>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c r="BF87" s="165"/>
      <c r="BG87" s="165"/>
      <c r="BH87" s="165"/>
      <c r="BI87" s="165"/>
      <c r="BJ87" s="165"/>
      <c r="BK87" s="165"/>
      <c r="BL87" s="165"/>
      <c r="BM87" s="165"/>
      <c r="BN87" s="165"/>
      <c r="BO87" s="165"/>
      <c r="BP87" s="166"/>
      <c r="BQ87" s="20"/>
      <c r="BR87" s="19"/>
      <c r="BS87" s="167" t="s">
        <v>962</v>
      </c>
      <c r="BT87" s="167"/>
      <c r="BU87" s="167"/>
      <c r="BV87" s="167"/>
      <c r="BW87" s="167"/>
      <c r="BX87" s="167"/>
      <c r="BY87" s="167"/>
      <c r="BZ87" s="167"/>
      <c r="CA87" s="167"/>
      <c r="CB87" s="167"/>
      <c r="CC87" s="167"/>
      <c r="CD87" s="167"/>
      <c r="CE87" s="167"/>
      <c r="CF87" s="167"/>
      <c r="CG87" s="167"/>
      <c r="CH87" s="167"/>
      <c r="CI87" s="167"/>
      <c r="CJ87" s="164">
        <v>6</v>
      </c>
      <c r="CK87" s="165"/>
      <c r="CL87" s="165"/>
      <c r="CM87" s="165"/>
      <c r="CN87" s="165"/>
      <c r="CO87" s="165"/>
      <c r="CP87" s="165"/>
      <c r="CQ87" s="165"/>
      <c r="CR87" s="165"/>
      <c r="CS87" s="165"/>
      <c r="CT87" s="165"/>
      <c r="CU87" s="165"/>
      <c r="CV87" s="165"/>
      <c r="CW87" s="165"/>
      <c r="CX87" s="165"/>
      <c r="CY87" s="165"/>
      <c r="CZ87" s="165"/>
      <c r="DA87" s="165"/>
      <c r="DB87" s="165"/>
      <c r="DC87" s="165"/>
      <c r="DD87" s="165"/>
      <c r="DE87" s="165"/>
      <c r="DF87" s="165"/>
      <c r="DG87" s="165"/>
      <c r="DH87" s="165"/>
      <c r="DI87" s="165"/>
      <c r="DJ87" s="165"/>
      <c r="DK87" s="165"/>
      <c r="DL87" s="165"/>
      <c r="DM87" s="165"/>
      <c r="DN87" s="166"/>
      <c r="DO87" s="20"/>
      <c r="DP87" s="19"/>
      <c r="DQ87" s="19"/>
      <c r="DR87" s="19"/>
      <c r="DS87" s="12"/>
      <c r="DT87" s="13"/>
    </row>
    <row r="88" spans="1:124" ht="5.0999999999999996" customHeight="1" thickTop="1">
      <c r="A88" s="12"/>
      <c r="B88" s="18"/>
      <c r="C88" s="19"/>
      <c r="D88" s="19"/>
      <c r="E88" s="19"/>
      <c r="F88" s="53"/>
      <c r="G88" s="53"/>
      <c r="H88" s="53"/>
      <c r="I88" s="53"/>
      <c r="J88" s="53"/>
      <c r="K88" s="53"/>
      <c r="L88" s="53"/>
      <c r="M88" s="53"/>
      <c r="N88" s="53"/>
      <c r="O88" s="53"/>
      <c r="P88" s="53"/>
      <c r="Q88" s="53"/>
      <c r="R88" s="53"/>
      <c r="S88" s="53"/>
      <c r="T88" s="53"/>
      <c r="U88" s="53"/>
      <c r="V88" s="53"/>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19"/>
      <c r="BS88" s="53"/>
      <c r="BT88" s="53"/>
      <c r="BU88" s="53"/>
      <c r="BV88" s="53"/>
      <c r="BW88" s="53"/>
      <c r="BX88" s="53"/>
      <c r="BY88" s="53"/>
      <c r="BZ88" s="53"/>
      <c r="CA88" s="53"/>
      <c r="CB88" s="53"/>
      <c r="CC88" s="53"/>
      <c r="CD88" s="53"/>
      <c r="CE88" s="53"/>
      <c r="CF88" s="53"/>
      <c r="CG88" s="53"/>
      <c r="CH88" s="53"/>
      <c r="CI88" s="53"/>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19"/>
      <c r="DQ88" s="19"/>
      <c r="DR88" s="19"/>
      <c r="DS88" s="12"/>
      <c r="DT88" s="13"/>
    </row>
    <row r="89" spans="1:124" ht="5.0999999999999996" customHeight="1">
      <c r="A89" s="12"/>
      <c r="B89" s="18"/>
      <c r="C89" s="19"/>
      <c r="D89" s="19"/>
      <c r="E89" s="19"/>
      <c r="F89" s="54"/>
      <c r="G89" s="54"/>
      <c r="H89" s="54"/>
      <c r="I89" s="54"/>
      <c r="J89" s="54"/>
      <c r="K89" s="54"/>
      <c r="L89" s="54"/>
      <c r="M89" s="54"/>
      <c r="N89" s="54"/>
      <c r="O89" s="54"/>
      <c r="P89" s="54"/>
      <c r="Q89" s="54"/>
      <c r="R89" s="54"/>
      <c r="S89" s="54"/>
      <c r="T89" s="54"/>
      <c r="U89" s="54"/>
      <c r="V89" s="54"/>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54"/>
      <c r="BT89" s="54"/>
      <c r="BU89" s="54"/>
      <c r="BV89" s="54"/>
      <c r="BW89" s="54"/>
      <c r="BX89" s="54"/>
      <c r="BY89" s="54"/>
      <c r="BZ89" s="54"/>
      <c r="CA89" s="54"/>
      <c r="CB89" s="54"/>
      <c r="CC89" s="54"/>
      <c r="CD89" s="54"/>
      <c r="CE89" s="54"/>
      <c r="CF89" s="54"/>
      <c r="CG89" s="54"/>
      <c r="CH89" s="54"/>
      <c r="CI89" s="54"/>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2"/>
      <c r="DT89" s="13"/>
    </row>
    <row r="90" spans="1:124" ht="5.0999999999999996" customHeight="1" thickBot="1">
      <c r="A90" s="12"/>
      <c r="B90" s="18"/>
      <c r="C90" s="19"/>
      <c r="D90" s="19"/>
      <c r="E90" s="19"/>
      <c r="F90" s="53"/>
      <c r="G90" s="53"/>
      <c r="H90" s="53"/>
      <c r="I90" s="53"/>
      <c r="J90" s="53"/>
      <c r="K90" s="53"/>
      <c r="L90" s="53"/>
      <c r="M90" s="53"/>
      <c r="N90" s="53"/>
      <c r="O90" s="53"/>
      <c r="P90" s="53"/>
      <c r="Q90" s="53"/>
      <c r="R90" s="53"/>
      <c r="S90" s="53"/>
      <c r="T90" s="53"/>
      <c r="U90" s="53"/>
      <c r="V90" s="53"/>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19"/>
      <c r="BS90" s="53"/>
      <c r="BT90" s="53"/>
      <c r="BU90" s="53"/>
      <c r="BV90" s="53"/>
      <c r="BW90" s="53"/>
      <c r="BX90" s="53"/>
      <c r="BY90" s="53"/>
      <c r="BZ90" s="53"/>
      <c r="CA90" s="53"/>
      <c r="CB90" s="53"/>
      <c r="CC90" s="53"/>
      <c r="CD90" s="53"/>
      <c r="CE90" s="53"/>
      <c r="CF90" s="53"/>
      <c r="CG90" s="53"/>
      <c r="CH90" s="53"/>
      <c r="CI90" s="53"/>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19"/>
      <c r="DQ90" s="19"/>
      <c r="DR90" s="19"/>
      <c r="DS90" s="12"/>
      <c r="DT90" s="13"/>
    </row>
    <row r="91" spans="1:124" ht="25.5" customHeight="1" thickTop="1" thickBot="1">
      <c r="A91" s="12"/>
      <c r="B91" s="18"/>
      <c r="C91" s="19"/>
      <c r="D91" s="19"/>
      <c r="E91" s="19"/>
      <c r="F91" s="133" t="s">
        <v>963</v>
      </c>
      <c r="G91" s="133"/>
      <c r="H91" s="133"/>
      <c r="I91" s="133"/>
      <c r="J91" s="133"/>
      <c r="K91" s="133"/>
      <c r="L91" s="133"/>
      <c r="M91" s="133"/>
      <c r="N91" s="133"/>
      <c r="O91" s="133"/>
      <c r="P91" s="133"/>
      <c r="Q91" s="133"/>
      <c r="R91" s="133"/>
      <c r="S91" s="133"/>
      <c r="T91" s="133"/>
      <c r="U91" s="133"/>
      <c r="V91" s="133"/>
      <c r="W91" s="164" t="s">
        <v>964</v>
      </c>
      <c r="X91" s="165"/>
      <c r="Y91" s="165"/>
      <c r="Z91" s="165"/>
      <c r="AA91" s="165"/>
      <c r="AB91" s="165"/>
      <c r="AC91" s="165"/>
      <c r="AD91" s="165"/>
      <c r="AE91" s="165"/>
      <c r="AF91" s="165"/>
      <c r="AG91" s="165"/>
      <c r="AH91" s="165"/>
      <c r="AI91" s="165"/>
      <c r="AJ91" s="165"/>
      <c r="AK91" s="165"/>
      <c r="AL91" s="165"/>
      <c r="AM91" s="165"/>
      <c r="AN91" s="165"/>
      <c r="AO91" s="165"/>
      <c r="AP91" s="165"/>
      <c r="AQ91" s="165"/>
      <c r="AR91" s="165"/>
      <c r="AS91" s="165"/>
      <c r="AT91" s="165"/>
      <c r="AU91" s="165"/>
      <c r="AV91" s="165"/>
      <c r="AW91" s="165"/>
      <c r="AX91" s="165"/>
      <c r="AY91" s="165"/>
      <c r="AZ91" s="165"/>
      <c r="BA91" s="165"/>
      <c r="BB91" s="165"/>
      <c r="BC91" s="165"/>
      <c r="BD91" s="165"/>
      <c r="BE91" s="165"/>
      <c r="BF91" s="165"/>
      <c r="BG91" s="165"/>
      <c r="BH91" s="165"/>
      <c r="BI91" s="165"/>
      <c r="BJ91" s="165"/>
      <c r="BK91" s="165"/>
      <c r="BL91" s="165"/>
      <c r="BM91" s="165"/>
      <c r="BN91" s="165"/>
      <c r="BO91" s="165"/>
      <c r="BP91" s="166"/>
      <c r="BQ91" s="20"/>
      <c r="BR91" s="19"/>
      <c r="BS91" s="168" t="s">
        <v>965</v>
      </c>
      <c r="BT91" s="168"/>
      <c r="BU91" s="168"/>
      <c r="BV91" s="168"/>
      <c r="BW91" s="168"/>
      <c r="BX91" s="168"/>
      <c r="BY91" s="168"/>
      <c r="BZ91" s="168"/>
      <c r="CA91" s="168"/>
      <c r="CB91" s="168"/>
      <c r="CC91" s="168"/>
      <c r="CD91" s="168"/>
      <c r="CE91" s="168"/>
      <c r="CF91" s="168"/>
      <c r="CG91" s="168"/>
      <c r="CH91" s="168"/>
      <c r="CI91" s="168"/>
      <c r="CJ91" s="164">
        <v>4</v>
      </c>
      <c r="CK91" s="165"/>
      <c r="CL91" s="165"/>
      <c r="CM91" s="165"/>
      <c r="CN91" s="165"/>
      <c r="CO91" s="165"/>
      <c r="CP91" s="165"/>
      <c r="CQ91" s="165"/>
      <c r="CR91" s="165"/>
      <c r="CS91" s="165"/>
      <c r="CT91" s="165"/>
      <c r="CU91" s="165"/>
      <c r="CV91" s="165"/>
      <c r="CW91" s="165"/>
      <c r="CX91" s="165"/>
      <c r="CY91" s="165"/>
      <c r="CZ91" s="165"/>
      <c r="DA91" s="165"/>
      <c r="DB91" s="165"/>
      <c r="DC91" s="165"/>
      <c r="DD91" s="165"/>
      <c r="DE91" s="165"/>
      <c r="DF91" s="165"/>
      <c r="DG91" s="165"/>
      <c r="DH91" s="165"/>
      <c r="DI91" s="165"/>
      <c r="DJ91" s="165"/>
      <c r="DK91" s="165"/>
      <c r="DL91" s="165"/>
      <c r="DM91" s="165"/>
      <c r="DN91" s="166"/>
      <c r="DO91" s="20"/>
      <c r="DP91" s="19"/>
      <c r="DQ91" s="19"/>
      <c r="DR91" s="19"/>
      <c r="DS91" s="12"/>
      <c r="DT91" s="13"/>
    </row>
    <row r="92" spans="1:124" ht="5.0999999999999996" customHeight="1" thickTop="1">
      <c r="A92" s="12"/>
      <c r="B92" s="18"/>
      <c r="C92" s="19"/>
      <c r="D92" s="19"/>
      <c r="E92" s="19"/>
      <c r="F92" s="22"/>
      <c r="G92" s="22"/>
      <c r="H92" s="22"/>
      <c r="I92" s="22"/>
      <c r="J92" s="22"/>
      <c r="K92" s="22"/>
      <c r="L92" s="22"/>
      <c r="M92" s="22"/>
      <c r="N92" s="22"/>
      <c r="O92" s="22"/>
      <c r="P92" s="22"/>
      <c r="Q92" s="22"/>
      <c r="R92" s="22"/>
      <c r="S92" s="22"/>
      <c r="T92" s="22"/>
      <c r="U92" s="22"/>
      <c r="V92" s="22"/>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19"/>
      <c r="BS92" s="22"/>
      <c r="BT92" s="22"/>
      <c r="BU92" s="22"/>
      <c r="BV92" s="22"/>
      <c r="BW92" s="22"/>
      <c r="BX92" s="22"/>
      <c r="BY92" s="22"/>
      <c r="BZ92" s="22"/>
      <c r="CA92" s="22"/>
      <c r="CB92" s="22"/>
      <c r="CC92" s="22"/>
      <c r="CD92" s="22"/>
      <c r="CE92" s="22"/>
      <c r="CF92" s="22"/>
      <c r="CG92" s="22"/>
      <c r="CH92" s="22"/>
      <c r="CI92" s="22"/>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19"/>
      <c r="DQ92" s="19"/>
      <c r="DR92" s="19"/>
      <c r="DS92" s="12"/>
      <c r="DT92" s="13"/>
    </row>
    <row r="93" spans="1:124" ht="5.0999999999999996" customHeight="1">
      <c r="A93" s="12"/>
      <c r="B93" s="18"/>
      <c r="C93" s="19"/>
      <c r="D93" s="19"/>
      <c r="E93" s="19"/>
      <c r="F93" s="54"/>
      <c r="G93" s="54"/>
      <c r="H93" s="54"/>
      <c r="I93" s="54"/>
      <c r="J93" s="54"/>
      <c r="K93" s="54"/>
      <c r="L93" s="54"/>
      <c r="M93" s="54"/>
      <c r="N93" s="54"/>
      <c r="O93" s="54"/>
      <c r="P93" s="54"/>
      <c r="Q93" s="54"/>
      <c r="R93" s="54"/>
      <c r="S93" s="54"/>
      <c r="T93" s="54"/>
      <c r="U93" s="54"/>
      <c r="V93" s="54"/>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54"/>
      <c r="BT93" s="54"/>
      <c r="BU93" s="54"/>
      <c r="BV93" s="54"/>
      <c r="BW93" s="54"/>
      <c r="BX93" s="54"/>
      <c r="BY93" s="54"/>
      <c r="BZ93" s="54"/>
      <c r="CA93" s="54"/>
      <c r="CB93" s="54"/>
      <c r="CC93" s="54"/>
      <c r="CD93" s="54"/>
      <c r="CE93" s="54"/>
      <c r="CF93" s="54"/>
      <c r="CG93" s="54"/>
      <c r="CH93" s="54"/>
      <c r="CI93" s="54"/>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2"/>
      <c r="DT93" s="13"/>
    </row>
    <row r="94" spans="1:124" ht="5.0999999999999996" customHeight="1" thickBot="1">
      <c r="A94" s="12"/>
      <c r="B94" s="18"/>
      <c r="C94" s="19"/>
      <c r="D94" s="19"/>
      <c r="E94" s="19"/>
      <c r="F94" s="53"/>
      <c r="G94" s="53"/>
      <c r="H94" s="53"/>
      <c r="I94" s="53"/>
      <c r="J94" s="53"/>
      <c r="K94" s="53"/>
      <c r="L94" s="53"/>
      <c r="M94" s="53"/>
      <c r="N94" s="53"/>
      <c r="O94" s="53"/>
      <c r="P94" s="53"/>
      <c r="Q94" s="53"/>
      <c r="R94" s="53"/>
      <c r="S94" s="53"/>
      <c r="T94" s="53"/>
      <c r="U94" s="53"/>
      <c r="V94" s="53"/>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19"/>
      <c r="BS94" s="53"/>
      <c r="BT94" s="53"/>
      <c r="BU94" s="53"/>
      <c r="BV94" s="53"/>
      <c r="BW94" s="53"/>
      <c r="BX94" s="53"/>
      <c r="BY94" s="53"/>
      <c r="BZ94" s="53"/>
      <c r="CA94" s="53"/>
      <c r="CB94" s="53"/>
      <c r="CC94" s="53"/>
      <c r="CD94" s="53"/>
      <c r="CE94" s="53"/>
      <c r="CF94" s="53"/>
      <c r="CG94" s="53"/>
      <c r="CH94" s="53"/>
      <c r="CI94" s="53"/>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19"/>
      <c r="DQ94" s="19"/>
      <c r="DR94" s="19"/>
      <c r="DS94" s="12"/>
      <c r="DT94" s="13"/>
    </row>
    <row r="95" spans="1:124" ht="25.5" customHeight="1" thickTop="1" thickBot="1">
      <c r="A95" s="12"/>
      <c r="B95" s="18"/>
      <c r="C95" s="19"/>
      <c r="D95" s="19"/>
      <c r="E95" s="19"/>
      <c r="F95" s="133" t="s">
        <v>966</v>
      </c>
      <c r="G95" s="133"/>
      <c r="H95" s="133"/>
      <c r="I95" s="133"/>
      <c r="J95" s="133"/>
      <c r="K95" s="133"/>
      <c r="L95" s="133"/>
      <c r="M95" s="133"/>
      <c r="N95" s="133"/>
      <c r="O95" s="133"/>
      <c r="P95" s="133"/>
      <c r="Q95" s="133"/>
      <c r="R95" s="133"/>
      <c r="S95" s="133"/>
      <c r="T95" s="133"/>
      <c r="U95" s="133"/>
      <c r="V95" s="133"/>
      <c r="W95" s="164" t="s">
        <v>967</v>
      </c>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65"/>
      <c r="BA95" s="165"/>
      <c r="BB95" s="165"/>
      <c r="BC95" s="165"/>
      <c r="BD95" s="165"/>
      <c r="BE95" s="165"/>
      <c r="BF95" s="165"/>
      <c r="BG95" s="165"/>
      <c r="BH95" s="165"/>
      <c r="BI95" s="165"/>
      <c r="BJ95" s="165"/>
      <c r="BK95" s="165"/>
      <c r="BL95" s="165"/>
      <c r="BM95" s="165"/>
      <c r="BN95" s="165"/>
      <c r="BO95" s="165"/>
      <c r="BP95" s="166"/>
      <c r="BQ95" s="20"/>
      <c r="BR95" s="19"/>
      <c r="BS95" s="167" t="s">
        <v>968</v>
      </c>
      <c r="BT95" s="167"/>
      <c r="BU95" s="167"/>
      <c r="BV95" s="167"/>
      <c r="BW95" s="167"/>
      <c r="BX95" s="167"/>
      <c r="BY95" s="167"/>
      <c r="BZ95" s="167"/>
      <c r="CA95" s="167"/>
      <c r="CB95" s="167"/>
      <c r="CC95" s="167"/>
      <c r="CD95" s="167"/>
      <c r="CE95" s="167"/>
      <c r="CF95" s="167"/>
      <c r="CG95" s="167"/>
      <c r="CH95" s="167"/>
      <c r="CI95" s="167"/>
      <c r="CJ95" s="164" t="s">
        <v>969</v>
      </c>
      <c r="CK95" s="165"/>
      <c r="CL95" s="165"/>
      <c r="CM95" s="165"/>
      <c r="CN95" s="165"/>
      <c r="CO95" s="165"/>
      <c r="CP95" s="165"/>
      <c r="CQ95" s="165"/>
      <c r="CR95" s="165"/>
      <c r="CS95" s="165"/>
      <c r="CT95" s="165"/>
      <c r="CU95" s="165"/>
      <c r="CV95" s="165"/>
      <c r="CW95" s="165"/>
      <c r="CX95" s="165"/>
      <c r="CY95" s="165"/>
      <c r="CZ95" s="165"/>
      <c r="DA95" s="165"/>
      <c r="DB95" s="165"/>
      <c r="DC95" s="165"/>
      <c r="DD95" s="165"/>
      <c r="DE95" s="165"/>
      <c r="DF95" s="165"/>
      <c r="DG95" s="165"/>
      <c r="DH95" s="165"/>
      <c r="DI95" s="165"/>
      <c r="DJ95" s="165"/>
      <c r="DK95" s="165"/>
      <c r="DL95" s="165"/>
      <c r="DM95" s="165"/>
      <c r="DN95" s="166"/>
      <c r="DO95" s="20"/>
      <c r="DP95" s="19"/>
      <c r="DQ95" s="19"/>
      <c r="DR95" s="19"/>
      <c r="DS95" s="12"/>
      <c r="DT95" s="13"/>
    </row>
    <row r="96" spans="1:124" ht="5.0999999999999996" customHeight="1" thickTop="1">
      <c r="A96" s="12"/>
      <c r="B96" s="18"/>
      <c r="C96" s="19"/>
      <c r="D96" s="19"/>
      <c r="E96" s="19"/>
      <c r="F96" s="53"/>
      <c r="G96" s="53"/>
      <c r="H96" s="53"/>
      <c r="I96" s="53"/>
      <c r="J96" s="53"/>
      <c r="K96" s="53"/>
      <c r="L96" s="53"/>
      <c r="M96" s="53"/>
      <c r="N96" s="53"/>
      <c r="O96" s="53"/>
      <c r="P96" s="53"/>
      <c r="Q96" s="53"/>
      <c r="R96" s="53"/>
      <c r="S96" s="53"/>
      <c r="T96" s="53"/>
      <c r="U96" s="53"/>
      <c r="V96" s="53"/>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19"/>
      <c r="BS96" s="53"/>
      <c r="BT96" s="53"/>
      <c r="BU96" s="53"/>
      <c r="BV96" s="53"/>
      <c r="BW96" s="53"/>
      <c r="BX96" s="53"/>
      <c r="BY96" s="53"/>
      <c r="BZ96" s="53"/>
      <c r="CA96" s="53"/>
      <c r="CB96" s="53"/>
      <c r="CC96" s="53"/>
      <c r="CD96" s="53"/>
      <c r="CE96" s="53"/>
      <c r="CF96" s="53"/>
      <c r="CG96" s="53"/>
      <c r="CH96" s="53"/>
      <c r="CI96" s="53"/>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19"/>
      <c r="DQ96" s="19"/>
      <c r="DR96" s="19"/>
      <c r="DS96" s="12"/>
      <c r="DT96" s="13"/>
    </row>
    <row r="97" spans="1:124" ht="5.0999999999999996" customHeight="1">
      <c r="A97" s="12"/>
      <c r="B97" s="18"/>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2"/>
      <c r="DT97" s="13"/>
    </row>
    <row r="98" spans="1:124" ht="25.5" customHeight="1">
      <c r="A98" s="12"/>
      <c r="B98" s="18"/>
      <c r="C98" s="19"/>
      <c r="D98" s="19"/>
      <c r="E98" s="19"/>
      <c r="F98" s="170" t="s">
        <v>970</v>
      </c>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c r="BZ98" s="170"/>
      <c r="CA98" s="170"/>
      <c r="CB98" s="170"/>
      <c r="CC98" s="170"/>
      <c r="CD98" s="170"/>
      <c r="CE98" s="170"/>
      <c r="CF98" s="170"/>
      <c r="CG98" s="170"/>
      <c r="CH98" s="170"/>
      <c r="CI98" s="170"/>
      <c r="CJ98" s="170"/>
      <c r="CK98" s="170"/>
      <c r="CL98" s="170"/>
      <c r="CM98" s="170"/>
      <c r="CN98" s="170"/>
      <c r="CO98" s="170"/>
      <c r="CP98" s="170"/>
      <c r="CQ98" s="170"/>
      <c r="CR98" s="170"/>
      <c r="CS98" s="170"/>
      <c r="CT98" s="170"/>
      <c r="CU98" s="170"/>
      <c r="CV98" s="170"/>
      <c r="CW98" s="170"/>
      <c r="CX98" s="170"/>
      <c r="CY98" s="170"/>
      <c r="CZ98" s="170"/>
      <c r="DA98" s="170"/>
      <c r="DB98" s="170"/>
      <c r="DC98" s="170"/>
      <c r="DD98" s="170"/>
      <c r="DE98" s="170"/>
      <c r="DF98" s="170"/>
      <c r="DG98" s="170"/>
      <c r="DH98" s="170"/>
      <c r="DI98" s="170"/>
      <c r="DJ98" s="170"/>
      <c r="DK98" s="170"/>
      <c r="DL98" s="170"/>
      <c r="DM98" s="170"/>
      <c r="DN98" s="170"/>
      <c r="DO98" s="170"/>
      <c r="DP98" s="19"/>
      <c r="DQ98" s="19"/>
      <c r="DR98" s="19"/>
      <c r="DS98" s="12"/>
      <c r="DT98" s="13"/>
    </row>
    <row r="99" spans="1:124" ht="5.0999999999999996" customHeight="1">
      <c r="A99" s="12"/>
      <c r="B99" s="18"/>
      <c r="C99" s="19"/>
      <c r="D99" s="19"/>
      <c r="E99" s="19"/>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c r="CH99" s="51"/>
      <c r="CI99" s="51"/>
      <c r="CJ99" s="51"/>
      <c r="CK99" s="51"/>
      <c r="CL99" s="51"/>
      <c r="CM99" s="51"/>
      <c r="CN99" s="51"/>
      <c r="CO99" s="51"/>
      <c r="CP99" s="51"/>
      <c r="CQ99" s="51"/>
      <c r="CR99" s="51"/>
      <c r="CS99" s="51"/>
      <c r="CT99" s="51"/>
      <c r="CU99" s="51"/>
      <c r="CV99" s="51"/>
      <c r="CW99" s="51"/>
      <c r="CX99" s="51"/>
      <c r="CY99" s="51"/>
      <c r="CZ99" s="51"/>
      <c r="DA99" s="51"/>
      <c r="DB99" s="51"/>
      <c r="DC99" s="51"/>
      <c r="DD99" s="51"/>
      <c r="DE99" s="51"/>
      <c r="DF99" s="51"/>
      <c r="DG99" s="51"/>
      <c r="DH99" s="51"/>
      <c r="DI99" s="51"/>
      <c r="DJ99" s="51"/>
      <c r="DK99" s="51"/>
      <c r="DL99" s="51"/>
      <c r="DM99" s="51"/>
      <c r="DN99" s="51"/>
      <c r="DO99" s="51"/>
      <c r="DP99" s="19"/>
      <c r="DQ99" s="19"/>
      <c r="DR99" s="19"/>
      <c r="DS99" s="12"/>
      <c r="DT99" s="13"/>
    </row>
    <row r="100" spans="1:124" ht="5.0999999999999996" customHeight="1">
      <c r="A100" s="12"/>
      <c r="B100" s="18"/>
      <c r="C100" s="19"/>
      <c r="D100" s="19"/>
      <c r="E100" s="19"/>
      <c r="F100" s="43"/>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5"/>
      <c r="DP100" s="19"/>
      <c r="DQ100" s="19"/>
      <c r="DR100" s="19"/>
      <c r="DS100" s="12"/>
      <c r="DT100" s="13"/>
    </row>
    <row r="101" spans="1:124" ht="5.0999999999999996" customHeight="1">
      <c r="A101" s="12"/>
      <c r="B101" s="18"/>
      <c r="C101" s="19"/>
      <c r="D101" s="19"/>
      <c r="E101" s="19"/>
      <c r="F101" s="46"/>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c r="AC101" s="171"/>
      <c r="AD101" s="171"/>
      <c r="AE101" s="171"/>
      <c r="AF101" s="171"/>
      <c r="AG101" s="171"/>
      <c r="AH101" s="171"/>
      <c r="AI101" s="171"/>
      <c r="AJ101" s="171"/>
      <c r="AK101" s="171"/>
      <c r="AL101" s="171"/>
      <c r="AM101" s="171"/>
      <c r="AN101" s="171"/>
      <c r="AO101" s="171"/>
      <c r="AP101" s="171"/>
      <c r="AQ101" s="171"/>
      <c r="AR101" s="171"/>
      <c r="AS101" s="171"/>
      <c r="AT101" s="171"/>
      <c r="AU101" s="171"/>
      <c r="AV101" s="171"/>
      <c r="AW101" s="171"/>
      <c r="AX101" s="171"/>
      <c r="AY101" s="171"/>
      <c r="AZ101" s="171"/>
      <c r="BA101" s="171"/>
      <c r="BB101" s="171"/>
      <c r="BC101" s="171"/>
      <c r="BD101" s="171"/>
      <c r="BE101" s="171"/>
      <c r="BF101" s="171"/>
      <c r="BG101" s="171"/>
      <c r="BH101" s="171"/>
      <c r="BI101" s="171"/>
      <c r="BJ101" s="171"/>
      <c r="BK101" s="171"/>
      <c r="BL101" s="171"/>
      <c r="BM101" s="171"/>
      <c r="BN101" s="171"/>
      <c r="BO101" s="171"/>
      <c r="BP101" s="171"/>
      <c r="BQ101" s="171"/>
      <c r="BR101" s="171"/>
      <c r="BS101" s="171"/>
      <c r="BT101" s="171"/>
      <c r="BU101" s="171"/>
      <c r="BV101" s="171"/>
      <c r="BW101" s="171"/>
      <c r="BX101" s="171"/>
      <c r="BY101" s="171"/>
      <c r="BZ101" s="171"/>
      <c r="CA101" s="171"/>
      <c r="CB101" s="171"/>
      <c r="CC101" s="171"/>
      <c r="CD101" s="171"/>
      <c r="CE101" s="171"/>
      <c r="CF101" s="171"/>
      <c r="CG101" s="171"/>
      <c r="CH101" s="171"/>
      <c r="CI101" s="171"/>
      <c r="CJ101" s="171"/>
      <c r="CK101" s="171"/>
      <c r="CL101" s="171"/>
      <c r="CM101" s="171"/>
      <c r="CN101" s="171"/>
      <c r="CO101" s="171"/>
      <c r="CP101" s="171"/>
      <c r="CQ101" s="171"/>
      <c r="CR101" s="171"/>
      <c r="CS101" s="171"/>
      <c r="CT101" s="171"/>
      <c r="CU101" s="171"/>
      <c r="CV101" s="171"/>
      <c r="CW101" s="171"/>
      <c r="CX101" s="171"/>
      <c r="CY101" s="171"/>
      <c r="CZ101" s="171"/>
      <c r="DA101" s="171"/>
      <c r="DB101" s="171"/>
      <c r="DC101" s="171"/>
      <c r="DD101" s="171"/>
      <c r="DE101" s="171"/>
      <c r="DF101" s="171"/>
      <c r="DG101" s="171"/>
      <c r="DH101" s="171"/>
      <c r="DI101" s="171"/>
      <c r="DJ101" s="171"/>
      <c r="DK101" s="171"/>
      <c r="DL101" s="171"/>
      <c r="DM101" s="171"/>
      <c r="DN101" s="171"/>
      <c r="DO101" s="47"/>
      <c r="DP101" s="19"/>
      <c r="DQ101" s="19"/>
      <c r="DR101" s="19"/>
      <c r="DS101" s="12"/>
      <c r="DT101" s="13"/>
    </row>
    <row r="102" spans="1:124" ht="245.1" customHeight="1">
      <c r="A102" s="12"/>
      <c r="B102" s="18"/>
      <c r="C102" s="19"/>
      <c r="D102" s="19"/>
      <c r="E102" s="19"/>
      <c r="F102" s="46"/>
      <c r="G102" s="172" t="s">
        <v>971</v>
      </c>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172"/>
      <c r="AE102" s="172"/>
      <c r="AF102" s="172"/>
      <c r="AG102" s="172"/>
      <c r="AH102" s="172"/>
      <c r="AI102" s="172"/>
      <c r="AJ102" s="172"/>
      <c r="AK102" s="172"/>
      <c r="AL102" s="172"/>
      <c r="AM102" s="172"/>
      <c r="AN102" s="172"/>
      <c r="AO102" s="172"/>
      <c r="AP102" s="172"/>
      <c r="AQ102" s="172"/>
      <c r="AR102" s="172"/>
      <c r="AS102" s="172"/>
      <c r="AT102" s="172"/>
      <c r="AU102" s="172"/>
      <c r="AV102" s="172"/>
      <c r="AW102" s="172"/>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c r="DJ102" s="172"/>
      <c r="DK102" s="172"/>
      <c r="DL102" s="172"/>
      <c r="DM102" s="172"/>
      <c r="DN102" s="172"/>
      <c r="DO102" s="47"/>
      <c r="DP102" s="19"/>
      <c r="DQ102" s="19"/>
      <c r="DR102" s="19"/>
      <c r="DS102" s="12"/>
      <c r="DT102" s="13"/>
    </row>
    <row r="103" spans="1:124" ht="5.0999999999999996" customHeight="1">
      <c r="A103" s="12"/>
      <c r="B103" s="18"/>
      <c r="C103" s="19"/>
      <c r="D103" s="19"/>
      <c r="E103" s="19"/>
      <c r="F103" s="48"/>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50"/>
      <c r="DP103" s="19"/>
      <c r="DQ103" s="19"/>
      <c r="DR103" s="19"/>
      <c r="DS103" s="12"/>
      <c r="DT103" s="13"/>
    </row>
    <row r="104" spans="1:124" ht="5.0999999999999996" customHeight="1">
      <c r="A104" s="12"/>
      <c r="B104" s="18"/>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2"/>
      <c r="DT104" s="13"/>
    </row>
    <row r="105" spans="1:124" ht="25.5" customHeight="1">
      <c r="A105" s="12"/>
      <c r="B105" s="18"/>
      <c r="C105" s="19"/>
      <c r="D105" s="19"/>
      <c r="E105" s="19"/>
      <c r="F105" s="170" t="s">
        <v>972</v>
      </c>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c r="BM105" s="170"/>
      <c r="BN105" s="170"/>
      <c r="BO105" s="170"/>
      <c r="BP105" s="170"/>
      <c r="BQ105" s="170"/>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0"/>
      <c r="CQ105" s="170"/>
      <c r="CR105" s="170"/>
      <c r="CS105" s="170"/>
      <c r="CT105" s="170"/>
      <c r="CU105" s="170"/>
      <c r="CV105" s="170"/>
      <c r="CW105" s="170"/>
      <c r="CX105" s="170"/>
      <c r="CY105" s="170"/>
      <c r="CZ105" s="170"/>
      <c r="DA105" s="170"/>
      <c r="DB105" s="170"/>
      <c r="DC105" s="170"/>
      <c r="DD105" s="170"/>
      <c r="DE105" s="170"/>
      <c r="DF105" s="170"/>
      <c r="DG105" s="170"/>
      <c r="DH105" s="170"/>
      <c r="DI105" s="170"/>
      <c r="DJ105" s="170"/>
      <c r="DK105" s="170"/>
      <c r="DL105" s="170"/>
      <c r="DM105" s="170"/>
      <c r="DN105" s="170"/>
      <c r="DO105" s="170"/>
      <c r="DP105" s="19"/>
      <c r="DQ105" s="19"/>
      <c r="DR105" s="19"/>
      <c r="DS105" s="12"/>
      <c r="DT105" s="13"/>
    </row>
    <row r="106" spans="1:124" ht="5.0999999999999996" customHeight="1">
      <c r="A106" s="12"/>
      <c r="B106" s="18"/>
      <c r="C106" s="19"/>
      <c r="D106" s="19"/>
      <c r="E106" s="19"/>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19"/>
      <c r="DQ106" s="19"/>
      <c r="DR106" s="19"/>
      <c r="DS106" s="12"/>
      <c r="DT106" s="13"/>
    </row>
    <row r="107" spans="1:124" ht="5.0999999999999996" customHeight="1">
      <c r="A107" s="12"/>
      <c r="B107" s="18"/>
      <c r="C107" s="19"/>
      <c r="D107" s="19"/>
      <c r="E107" s="19"/>
      <c r="F107" s="43"/>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5"/>
      <c r="DP107" s="19"/>
      <c r="DQ107" s="19"/>
      <c r="DR107" s="19"/>
      <c r="DS107" s="12"/>
      <c r="DT107" s="13"/>
    </row>
    <row r="108" spans="1:124" ht="5.0999999999999996" customHeight="1">
      <c r="A108" s="12"/>
      <c r="B108" s="18"/>
      <c r="C108" s="19"/>
      <c r="D108" s="19"/>
      <c r="E108" s="19"/>
      <c r="F108" s="46"/>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c r="AC108" s="171"/>
      <c r="AD108" s="171"/>
      <c r="AE108" s="171"/>
      <c r="AF108" s="171"/>
      <c r="AG108" s="171"/>
      <c r="AH108" s="171"/>
      <c r="AI108" s="171"/>
      <c r="AJ108" s="171"/>
      <c r="AK108" s="171"/>
      <c r="AL108" s="171"/>
      <c r="AM108" s="171"/>
      <c r="AN108" s="171"/>
      <c r="AO108" s="171"/>
      <c r="AP108" s="171"/>
      <c r="AQ108" s="171"/>
      <c r="AR108" s="171"/>
      <c r="AS108" s="171"/>
      <c r="AT108" s="171"/>
      <c r="AU108" s="171"/>
      <c r="AV108" s="171"/>
      <c r="AW108" s="171"/>
      <c r="AX108" s="171"/>
      <c r="AY108" s="171"/>
      <c r="AZ108" s="171"/>
      <c r="BA108" s="171"/>
      <c r="BB108" s="171"/>
      <c r="BC108" s="171"/>
      <c r="BD108" s="171"/>
      <c r="BE108" s="171"/>
      <c r="BF108" s="171"/>
      <c r="BG108" s="171"/>
      <c r="BH108" s="171"/>
      <c r="BI108" s="171"/>
      <c r="BJ108" s="171"/>
      <c r="BK108" s="171"/>
      <c r="BL108" s="171"/>
      <c r="BM108" s="171"/>
      <c r="BN108" s="171"/>
      <c r="BO108" s="171"/>
      <c r="BP108" s="171"/>
      <c r="BQ108" s="171"/>
      <c r="BR108" s="171"/>
      <c r="BS108" s="171"/>
      <c r="BT108" s="171"/>
      <c r="BU108" s="171"/>
      <c r="BV108" s="171"/>
      <c r="BW108" s="171"/>
      <c r="BX108" s="171"/>
      <c r="BY108" s="171"/>
      <c r="BZ108" s="171"/>
      <c r="CA108" s="171"/>
      <c r="CB108" s="171"/>
      <c r="CC108" s="171"/>
      <c r="CD108" s="171"/>
      <c r="CE108" s="171"/>
      <c r="CF108" s="171"/>
      <c r="CG108" s="171"/>
      <c r="CH108" s="171"/>
      <c r="CI108" s="171"/>
      <c r="CJ108" s="171"/>
      <c r="CK108" s="171"/>
      <c r="CL108" s="171"/>
      <c r="CM108" s="171"/>
      <c r="CN108" s="171"/>
      <c r="CO108" s="171"/>
      <c r="CP108" s="171"/>
      <c r="CQ108" s="171"/>
      <c r="CR108" s="171"/>
      <c r="CS108" s="171"/>
      <c r="CT108" s="171"/>
      <c r="CU108" s="171"/>
      <c r="CV108" s="171"/>
      <c r="CW108" s="171"/>
      <c r="CX108" s="171"/>
      <c r="CY108" s="171"/>
      <c r="CZ108" s="171"/>
      <c r="DA108" s="171"/>
      <c r="DB108" s="171"/>
      <c r="DC108" s="171"/>
      <c r="DD108" s="171"/>
      <c r="DE108" s="171"/>
      <c r="DF108" s="171"/>
      <c r="DG108" s="171"/>
      <c r="DH108" s="171"/>
      <c r="DI108" s="171"/>
      <c r="DJ108" s="171"/>
      <c r="DK108" s="171"/>
      <c r="DL108" s="171"/>
      <c r="DM108" s="171"/>
      <c r="DN108" s="171"/>
      <c r="DO108" s="47"/>
      <c r="DP108" s="19"/>
      <c r="DQ108" s="19"/>
      <c r="DR108" s="19"/>
      <c r="DS108" s="12"/>
      <c r="DT108" s="13"/>
    </row>
    <row r="109" spans="1:124" ht="189.95" customHeight="1">
      <c r="A109" s="12"/>
      <c r="B109" s="18"/>
      <c r="C109" s="19"/>
      <c r="D109" s="19"/>
      <c r="E109" s="19"/>
      <c r="F109" s="46"/>
      <c r="G109" s="172" t="s">
        <v>973</v>
      </c>
      <c r="H109" s="172"/>
      <c r="I109" s="172"/>
      <c r="J109" s="172"/>
      <c r="K109" s="172"/>
      <c r="L109" s="172"/>
      <c r="M109" s="172"/>
      <c r="N109" s="172"/>
      <c r="O109" s="172"/>
      <c r="P109" s="172"/>
      <c r="Q109" s="172"/>
      <c r="R109" s="172"/>
      <c r="S109" s="172"/>
      <c r="T109" s="172"/>
      <c r="U109" s="172"/>
      <c r="V109" s="172"/>
      <c r="W109" s="172"/>
      <c r="X109" s="172"/>
      <c r="Y109" s="172"/>
      <c r="Z109" s="172"/>
      <c r="AA109" s="172"/>
      <c r="AB109" s="172"/>
      <c r="AC109" s="172"/>
      <c r="AD109" s="172"/>
      <c r="AE109" s="172"/>
      <c r="AF109" s="172"/>
      <c r="AG109" s="172"/>
      <c r="AH109" s="172"/>
      <c r="AI109" s="172"/>
      <c r="AJ109" s="172"/>
      <c r="AK109" s="172"/>
      <c r="AL109" s="172"/>
      <c r="AM109" s="172"/>
      <c r="AN109" s="172"/>
      <c r="AO109" s="172"/>
      <c r="AP109" s="172"/>
      <c r="AQ109" s="172"/>
      <c r="AR109" s="172"/>
      <c r="AS109" s="172"/>
      <c r="AT109" s="172"/>
      <c r="AU109" s="172"/>
      <c r="AV109" s="172"/>
      <c r="AW109" s="172"/>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c r="DJ109" s="172"/>
      <c r="DK109" s="172"/>
      <c r="DL109" s="172"/>
      <c r="DM109" s="172"/>
      <c r="DN109" s="172"/>
      <c r="DO109" s="47"/>
      <c r="DP109" s="19"/>
      <c r="DQ109" s="19"/>
      <c r="DR109" s="19"/>
      <c r="DS109" s="12"/>
      <c r="DT109" s="13"/>
    </row>
    <row r="110" spans="1:124" ht="5.0999999999999996" customHeight="1">
      <c r="A110" s="12"/>
      <c r="B110" s="18"/>
      <c r="C110" s="19"/>
      <c r="D110" s="19"/>
      <c r="E110" s="19"/>
      <c r="F110" s="48"/>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50"/>
      <c r="DP110" s="19"/>
      <c r="DQ110" s="19"/>
      <c r="DR110" s="19"/>
      <c r="DS110" s="12"/>
      <c r="DT110" s="13"/>
    </row>
    <row r="111" spans="1:124" ht="15" customHeight="1">
      <c r="A111" s="12"/>
      <c r="B111" s="18"/>
      <c r="C111" s="19"/>
      <c r="D111" s="19"/>
      <c r="E111" s="19"/>
      <c r="F111" s="169" t="s">
        <v>974</v>
      </c>
      <c r="G111" s="169"/>
      <c r="H111" s="169"/>
      <c r="I111" s="169"/>
      <c r="J111" s="169"/>
      <c r="K111" s="169"/>
      <c r="L111" s="169"/>
      <c r="M111" s="169"/>
      <c r="N111" s="169"/>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69"/>
      <c r="BB111" s="169"/>
      <c r="BC111" s="169"/>
      <c r="BD111" s="169"/>
      <c r="BE111" s="169"/>
      <c r="BF111" s="169"/>
      <c r="BG111" s="169"/>
      <c r="BH111" s="169"/>
      <c r="BI111" s="169"/>
      <c r="BJ111" s="169"/>
      <c r="BK111" s="169"/>
      <c r="BL111" s="169"/>
      <c r="BM111" s="169"/>
      <c r="BN111" s="169"/>
      <c r="BO111" s="169"/>
      <c r="BP111" s="169"/>
      <c r="BQ111" s="169"/>
      <c r="BR111" s="169"/>
      <c r="BS111" s="169"/>
      <c r="BT111" s="169"/>
      <c r="BU111" s="169"/>
      <c r="BV111" s="169"/>
      <c r="BW111" s="169"/>
      <c r="BX111" s="169"/>
      <c r="BY111" s="169"/>
      <c r="BZ111" s="169"/>
      <c r="CA111" s="169"/>
      <c r="CB111" s="169"/>
      <c r="CC111" s="169"/>
      <c r="CD111" s="169"/>
      <c r="CE111" s="169"/>
      <c r="CF111" s="169"/>
      <c r="CG111" s="169"/>
      <c r="CH111" s="169"/>
      <c r="CI111" s="169"/>
      <c r="CJ111" s="169"/>
      <c r="CK111" s="169"/>
      <c r="CL111" s="169"/>
      <c r="CM111" s="169"/>
      <c r="CN111" s="169"/>
      <c r="CO111" s="169"/>
      <c r="CP111" s="169"/>
      <c r="CQ111" s="169"/>
      <c r="CR111" s="169"/>
      <c r="CS111" s="169"/>
      <c r="CT111" s="169"/>
      <c r="CU111" s="169"/>
      <c r="CV111" s="169"/>
      <c r="CW111" s="169"/>
      <c r="CX111" s="169"/>
      <c r="CY111" s="169"/>
      <c r="CZ111" s="169"/>
      <c r="DA111" s="169"/>
      <c r="DB111" s="169"/>
      <c r="DC111" s="169"/>
      <c r="DD111" s="169"/>
      <c r="DE111" s="169"/>
      <c r="DF111" s="169"/>
      <c r="DG111" s="169"/>
      <c r="DH111" s="169"/>
      <c r="DI111" s="169"/>
      <c r="DJ111" s="169"/>
      <c r="DK111" s="169"/>
      <c r="DL111" s="169"/>
      <c r="DM111" s="169"/>
      <c r="DN111" s="169"/>
      <c r="DO111" s="169"/>
      <c r="DP111" s="19"/>
      <c r="DQ111" s="19"/>
      <c r="DR111" s="19"/>
      <c r="DS111" s="12"/>
      <c r="DT111" s="13"/>
    </row>
    <row r="112" spans="1:124" ht="5.0999999999999996" customHeight="1">
      <c r="DS112" s="12"/>
    </row>
    <row r="113" spans="1:124" ht="5.0999999999999996" customHeight="1">
      <c r="B113" s="12"/>
      <c r="DS113" s="12"/>
    </row>
    <row r="114" spans="1:124" s="5" customFormat="1" ht="15" customHeight="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2"/>
      <c r="CY114" s="12"/>
      <c r="CZ114" s="12"/>
      <c r="DA114" s="12"/>
      <c r="DB114" s="12"/>
      <c r="DC114" s="12"/>
      <c r="DD114" s="12"/>
      <c r="DE114" s="12"/>
      <c r="DF114" s="12"/>
      <c r="DG114" s="12"/>
      <c r="DH114" s="12"/>
      <c r="DI114" s="12"/>
      <c r="DJ114" s="12"/>
      <c r="DK114" s="12"/>
      <c r="DL114" s="12"/>
      <c r="DM114" s="12"/>
      <c r="DN114" s="12"/>
      <c r="DO114" s="12"/>
      <c r="DP114" s="12"/>
      <c r="DQ114" s="12"/>
      <c r="DR114" s="12"/>
      <c r="DS114" s="12"/>
    </row>
    <row r="115" spans="1:124" s="5" customFormat="1" ht="42" customHeight="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2"/>
      <c r="CY115" s="12"/>
      <c r="CZ115" s="12"/>
      <c r="DA115" s="12"/>
      <c r="DB115" s="12"/>
      <c r="DC115" s="12"/>
      <c r="DD115" s="12"/>
      <c r="DE115" s="12"/>
      <c r="DF115" s="12"/>
      <c r="DG115" s="12"/>
      <c r="DH115" s="12"/>
      <c r="DI115" s="12"/>
      <c r="DJ115" s="12"/>
      <c r="DK115" s="12"/>
      <c r="DL115" s="12"/>
      <c r="DM115" s="12"/>
      <c r="DN115" s="12"/>
      <c r="DO115" s="12"/>
      <c r="DP115" s="12"/>
      <c r="DQ115" s="12"/>
      <c r="DR115" s="12"/>
      <c r="DS115" s="12"/>
      <c r="DT115" s="12"/>
    </row>
    <row r="116" spans="1:124" ht="5.0999999999999996" customHeight="1">
      <c r="A116" s="12"/>
      <c r="B116" s="18"/>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2"/>
      <c r="DT116" s="13"/>
    </row>
    <row r="117" spans="1:124" ht="25.5" customHeight="1">
      <c r="A117" s="12"/>
      <c r="B117" s="18"/>
      <c r="C117" s="19"/>
      <c r="D117" s="19"/>
      <c r="E117" s="19"/>
      <c r="F117" s="170" t="s">
        <v>975</v>
      </c>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c r="BU117" s="170"/>
      <c r="BV117" s="170"/>
      <c r="BW117" s="170"/>
      <c r="BX117" s="170"/>
      <c r="BY117" s="170"/>
      <c r="BZ117" s="170"/>
      <c r="CA117" s="170"/>
      <c r="CB117" s="170"/>
      <c r="CC117" s="170"/>
      <c r="CD117" s="170"/>
      <c r="CE117" s="170"/>
      <c r="CF117" s="170"/>
      <c r="CG117" s="170"/>
      <c r="CH117" s="170"/>
      <c r="CI117" s="170"/>
      <c r="CJ117" s="170"/>
      <c r="CK117" s="170"/>
      <c r="CL117" s="170"/>
      <c r="CM117" s="170"/>
      <c r="CN117" s="170"/>
      <c r="CO117" s="170"/>
      <c r="CP117" s="170"/>
      <c r="CQ117" s="170"/>
      <c r="CR117" s="170"/>
      <c r="CS117" s="170"/>
      <c r="CT117" s="170"/>
      <c r="CU117" s="170"/>
      <c r="CV117" s="170"/>
      <c r="CW117" s="170"/>
      <c r="CX117" s="170"/>
      <c r="CY117" s="170"/>
      <c r="CZ117" s="170"/>
      <c r="DA117" s="170"/>
      <c r="DB117" s="170"/>
      <c r="DC117" s="170"/>
      <c r="DD117" s="170"/>
      <c r="DE117" s="170"/>
      <c r="DF117" s="170"/>
      <c r="DG117" s="170"/>
      <c r="DH117" s="170"/>
      <c r="DI117" s="170"/>
      <c r="DJ117" s="170"/>
      <c r="DK117" s="170"/>
      <c r="DL117" s="170"/>
      <c r="DM117" s="170"/>
      <c r="DN117" s="170"/>
      <c r="DO117" s="170"/>
      <c r="DP117" s="19"/>
      <c r="DQ117" s="19"/>
      <c r="DR117" s="19"/>
      <c r="DS117" s="12"/>
      <c r="DT117" s="13"/>
    </row>
    <row r="118" spans="1:124" ht="5.0999999999999996" customHeight="1">
      <c r="A118" s="12"/>
      <c r="B118" s="18"/>
      <c r="C118" s="19"/>
      <c r="D118" s="19"/>
      <c r="E118" s="19"/>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c r="CH118" s="51"/>
      <c r="CI118" s="51"/>
      <c r="CJ118" s="51"/>
      <c r="CK118" s="51"/>
      <c r="CL118" s="51"/>
      <c r="CM118" s="51"/>
      <c r="CN118" s="51"/>
      <c r="CO118" s="51"/>
      <c r="CP118" s="51"/>
      <c r="CQ118" s="51"/>
      <c r="CR118" s="51"/>
      <c r="CS118" s="51"/>
      <c r="CT118" s="51"/>
      <c r="CU118" s="51"/>
      <c r="CV118" s="51"/>
      <c r="CW118" s="51"/>
      <c r="CX118" s="51"/>
      <c r="CY118" s="51"/>
      <c r="CZ118" s="51"/>
      <c r="DA118" s="51"/>
      <c r="DB118" s="51"/>
      <c r="DC118" s="51"/>
      <c r="DD118" s="51"/>
      <c r="DE118" s="51"/>
      <c r="DF118" s="51"/>
      <c r="DG118" s="51"/>
      <c r="DH118" s="51"/>
      <c r="DI118" s="51"/>
      <c r="DJ118" s="51"/>
      <c r="DK118" s="51"/>
      <c r="DL118" s="51"/>
      <c r="DM118" s="51"/>
      <c r="DN118" s="51"/>
      <c r="DO118" s="51"/>
      <c r="DP118" s="19"/>
      <c r="DQ118" s="19"/>
      <c r="DR118" s="19"/>
      <c r="DS118" s="12"/>
      <c r="DT118" s="13"/>
    </row>
    <row r="119" spans="1:124" ht="5.0999999999999996" customHeight="1">
      <c r="A119" s="12"/>
      <c r="B119" s="18"/>
      <c r="C119" s="19"/>
      <c r="D119" s="19"/>
      <c r="E119" s="19"/>
      <c r="F119" s="43"/>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5"/>
      <c r="DP119" s="19"/>
      <c r="DQ119" s="19"/>
      <c r="DR119" s="19"/>
      <c r="DS119" s="12"/>
      <c r="DT119" s="13"/>
    </row>
    <row r="120" spans="1:124" ht="5.0999999999999996" customHeight="1">
      <c r="A120" s="12"/>
      <c r="B120" s="18"/>
      <c r="C120" s="19"/>
      <c r="D120" s="19"/>
      <c r="E120" s="19"/>
      <c r="F120" s="46"/>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c r="AC120" s="171"/>
      <c r="AD120" s="171"/>
      <c r="AE120" s="171"/>
      <c r="AF120" s="171"/>
      <c r="AG120" s="171"/>
      <c r="AH120" s="171"/>
      <c r="AI120" s="171"/>
      <c r="AJ120" s="171"/>
      <c r="AK120" s="171"/>
      <c r="AL120" s="171"/>
      <c r="AM120" s="171"/>
      <c r="AN120" s="171"/>
      <c r="AO120" s="171"/>
      <c r="AP120" s="171"/>
      <c r="AQ120" s="171"/>
      <c r="AR120" s="171"/>
      <c r="AS120" s="171"/>
      <c r="AT120" s="171"/>
      <c r="AU120" s="171"/>
      <c r="AV120" s="171"/>
      <c r="AW120" s="171"/>
      <c r="AX120" s="171"/>
      <c r="AY120" s="171"/>
      <c r="AZ120" s="171"/>
      <c r="BA120" s="171"/>
      <c r="BB120" s="171"/>
      <c r="BC120" s="171"/>
      <c r="BD120" s="171"/>
      <c r="BE120" s="171"/>
      <c r="BF120" s="171"/>
      <c r="BG120" s="171"/>
      <c r="BH120" s="171"/>
      <c r="BI120" s="171"/>
      <c r="BJ120" s="171"/>
      <c r="BK120" s="171"/>
      <c r="BL120" s="171"/>
      <c r="BM120" s="171"/>
      <c r="BN120" s="171"/>
      <c r="BO120" s="171"/>
      <c r="BP120" s="171"/>
      <c r="BQ120" s="171"/>
      <c r="BR120" s="171"/>
      <c r="BS120" s="171"/>
      <c r="BT120" s="171"/>
      <c r="BU120" s="171"/>
      <c r="BV120" s="171"/>
      <c r="BW120" s="171"/>
      <c r="BX120" s="171"/>
      <c r="BY120" s="171"/>
      <c r="BZ120" s="171"/>
      <c r="CA120" s="171"/>
      <c r="CB120" s="171"/>
      <c r="CC120" s="171"/>
      <c r="CD120" s="171"/>
      <c r="CE120" s="171"/>
      <c r="CF120" s="171"/>
      <c r="CG120" s="171"/>
      <c r="CH120" s="171"/>
      <c r="CI120" s="171"/>
      <c r="CJ120" s="171"/>
      <c r="CK120" s="171"/>
      <c r="CL120" s="171"/>
      <c r="CM120" s="171"/>
      <c r="CN120" s="171"/>
      <c r="CO120" s="171"/>
      <c r="CP120" s="171"/>
      <c r="CQ120" s="171"/>
      <c r="CR120" s="171"/>
      <c r="CS120" s="171"/>
      <c r="CT120" s="171"/>
      <c r="CU120" s="171"/>
      <c r="CV120" s="171"/>
      <c r="CW120" s="171"/>
      <c r="CX120" s="171"/>
      <c r="CY120" s="171"/>
      <c r="CZ120" s="171"/>
      <c r="DA120" s="171"/>
      <c r="DB120" s="171"/>
      <c r="DC120" s="171"/>
      <c r="DD120" s="171"/>
      <c r="DE120" s="171"/>
      <c r="DF120" s="171"/>
      <c r="DG120" s="171"/>
      <c r="DH120" s="171"/>
      <c r="DI120" s="171"/>
      <c r="DJ120" s="171"/>
      <c r="DK120" s="171"/>
      <c r="DL120" s="171"/>
      <c r="DM120" s="171"/>
      <c r="DN120" s="171"/>
      <c r="DO120" s="47"/>
      <c r="DP120" s="19"/>
      <c r="DQ120" s="19"/>
      <c r="DR120" s="19"/>
      <c r="DS120" s="12"/>
      <c r="DT120" s="13"/>
    </row>
    <row r="121" spans="1:124" ht="324.75" customHeight="1">
      <c r="A121" s="12"/>
      <c r="B121" s="18"/>
      <c r="C121" s="19"/>
      <c r="D121" s="19"/>
      <c r="E121" s="19"/>
      <c r="F121" s="46"/>
      <c r="G121" s="172" t="s">
        <v>976</v>
      </c>
      <c r="H121" s="172"/>
      <c r="I121" s="172"/>
      <c r="J121" s="172"/>
      <c r="K121" s="172"/>
      <c r="L121" s="172"/>
      <c r="M121" s="172"/>
      <c r="N121" s="172"/>
      <c r="O121" s="172"/>
      <c r="P121" s="172"/>
      <c r="Q121" s="172"/>
      <c r="R121" s="172"/>
      <c r="S121" s="172"/>
      <c r="T121" s="172"/>
      <c r="U121" s="172"/>
      <c r="V121" s="172"/>
      <c r="W121" s="172"/>
      <c r="X121" s="172"/>
      <c r="Y121" s="172"/>
      <c r="Z121" s="172"/>
      <c r="AA121" s="172"/>
      <c r="AB121" s="172"/>
      <c r="AC121" s="172"/>
      <c r="AD121" s="172"/>
      <c r="AE121" s="172"/>
      <c r="AF121" s="172"/>
      <c r="AG121" s="172"/>
      <c r="AH121" s="172"/>
      <c r="AI121" s="172"/>
      <c r="AJ121" s="172"/>
      <c r="AK121" s="172"/>
      <c r="AL121" s="172"/>
      <c r="AM121" s="172"/>
      <c r="AN121" s="172"/>
      <c r="AO121" s="172"/>
      <c r="AP121" s="172"/>
      <c r="AQ121" s="172"/>
      <c r="AR121" s="172"/>
      <c r="AS121" s="172"/>
      <c r="AT121" s="172"/>
      <c r="AU121" s="172"/>
      <c r="AV121" s="172"/>
      <c r="AW121" s="172"/>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c r="DJ121" s="172"/>
      <c r="DK121" s="172"/>
      <c r="DL121" s="172"/>
      <c r="DM121" s="172"/>
      <c r="DN121" s="172"/>
      <c r="DO121" s="47"/>
      <c r="DP121" s="19"/>
      <c r="DQ121" s="19"/>
      <c r="DR121" s="19"/>
      <c r="DS121" s="12"/>
      <c r="DT121" s="13"/>
    </row>
    <row r="122" spans="1:124" ht="5.0999999999999996" customHeight="1">
      <c r="A122" s="12"/>
      <c r="B122" s="18"/>
      <c r="C122" s="19"/>
      <c r="D122" s="19"/>
      <c r="E122" s="19"/>
      <c r="F122" s="48"/>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50"/>
      <c r="DP122" s="19"/>
      <c r="DQ122" s="19"/>
      <c r="DR122" s="19"/>
      <c r="DS122" s="12"/>
      <c r="DT122" s="13"/>
    </row>
    <row r="123" spans="1:124" ht="5.0999999999999996" customHeight="1">
      <c r="A123" s="12"/>
      <c r="B123" s="18"/>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2"/>
      <c r="DT123" s="13"/>
    </row>
    <row r="124" spans="1:124" ht="25.5" customHeight="1">
      <c r="A124" s="12"/>
      <c r="B124" s="18"/>
      <c r="C124" s="19"/>
      <c r="D124" s="19"/>
      <c r="E124" s="19"/>
      <c r="F124" s="170" t="s">
        <v>977</v>
      </c>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0"/>
      <c r="BA124" s="170"/>
      <c r="BB124" s="170"/>
      <c r="BC124" s="170"/>
      <c r="BD124" s="170"/>
      <c r="BE124" s="170"/>
      <c r="BF124" s="170"/>
      <c r="BG124" s="170"/>
      <c r="BH124" s="170"/>
      <c r="BI124" s="170"/>
      <c r="BJ124" s="170"/>
      <c r="BK124" s="170"/>
      <c r="BL124" s="170"/>
      <c r="BM124" s="170"/>
      <c r="BN124" s="170"/>
      <c r="BO124" s="170"/>
      <c r="BP124" s="170"/>
      <c r="BQ124" s="170"/>
      <c r="BR124" s="170"/>
      <c r="BS124" s="170"/>
      <c r="BT124" s="170"/>
      <c r="BU124" s="170"/>
      <c r="BV124" s="170"/>
      <c r="BW124" s="170"/>
      <c r="BX124" s="170"/>
      <c r="BY124" s="170"/>
      <c r="BZ124" s="170"/>
      <c r="CA124" s="170"/>
      <c r="CB124" s="170"/>
      <c r="CC124" s="170"/>
      <c r="CD124" s="170"/>
      <c r="CE124" s="170"/>
      <c r="CF124" s="170"/>
      <c r="CG124" s="170"/>
      <c r="CH124" s="170"/>
      <c r="CI124" s="170"/>
      <c r="CJ124" s="170"/>
      <c r="CK124" s="170"/>
      <c r="CL124" s="170"/>
      <c r="CM124" s="170"/>
      <c r="CN124" s="170"/>
      <c r="CO124" s="170"/>
      <c r="CP124" s="170"/>
      <c r="CQ124" s="170"/>
      <c r="CR124" s="170"/>
      <c r="CS124" s="170"/>
      <c r="CT124" s="170"/>
      <c r="CU124" s="170"/>
      <c r="CV124" s="170"/>
      <c r="CW124" s="170"/>
      <c r="CX124" s="170"/>
      <c r="CY124" s="170"/>
      <c r="CZ124" s="170"/>
      <c r="DA124" s="170"/>
      <c r="DB124" s="170"/>
      <c r="DC124" s="170"/>
      <c r="DD124" s="170"/>
      <c r="DE124" s="170"/>
      <c r="DF124" s="170"/>
      <c r="DG124" s="170"/>
      <c r="DH124" s="170"/>
      <c r="DI124" s="170"/>
      <c r="DJ124" s="170"/>
      <c r="DK124" s="170"/>
      <c r="DL124" s="170"/>
      <c r="DM124" s="170"/>
      <c r="DN124" s="170"/>
      <c r="DO124" s="170"/>
      <c r="DP124" s="19"/>
      <c r="DQ124" s="19"/>
      <c r="DR124" s="19"/>
      <c r="DS124" s="12"/>
      <c r="DT124" s="13"/>
    </row>
    <row r="125" spans="1:124" ht="5.0999999999999996" customHeight="1">
      <c r="A125" s="12"/>
      <c r="B125" s="18"/>
      <c r="C125" s="19"/>
      <c r="D125" s="19"/>
      <c r="E125" s="19"/>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c r="CH125" s="51"/>
      <c r="CI125" s="51"/>
      <c r="CJ125" s="51"/>
      <c r="CK125" s="51"/>
      <c r="CL125" s="51"/>
      <c r="CM125" s="51"/>
      <c r="CN125" s="51"/>
      <c r="CO125" s="51"/>
      <c r="CP125" s="51"/>
      <c r="CQ125" s="51"/>
      <c r="CR125" s="51"/>
      <c r="CS125" s="51"/>
      <c r="CT125" s="51"/>
      <c r="CU125" s="51"/>
      <c r="CV125" s="51"/>
      <c r="CW125" s="51"/>
      <c r="CX125" s="51"/>
      <c r="CY125" s="51"/>
      <c r="CZ125" s="51"/>
      <c r="DA125" s="51"/>
      <c r="DB125" s="51"/>
      <c r="DC125" s="51"/>
      <c r="DD125" s="51"/>
      <c r="DE125" s="51"/>
      <c r="DF125" s="51"/>
      <c r="DG125" s="51"/>
      <c r="DH125" s="51"/>
      <c r="DI125" s="51"/>
      <c r="DJ125" s="51"/>
      <c r="DK125" s="51"/>
      <c r="DL125" s="51"/>
      <c r="DM125" s="51"/>
      <c r="DN125" s="51"/>
      <c r="DO125" s="51"/>
      <c r="DP125" s="19"/>
      <c r="DQ125" s="19"/>
      <c r="DR125" s="19"/>
      <c r="DS125" s="12"/>
      <c r="DT125" s="13"/>
    </row>
    <row r="126" spans="1:124" ht="5.0999999999999996" customHeight="1">
      <c r="A126" s="12"/>
      <c r="B126" s="18"/>
      <c r="C126" s="19"/>
      <c r="D126" s="19"/>
      <c r="E126" s="19"/>
      <c r="F126" s="43"/>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5"/>
      <c r="DP126" s="19"/>
      <c r="DQ126" s="19"/>
      <c r="DR126" s="19"/>
      <c r="DS126" s="12"/>
      <c r="DT126" s="13"/>
    </row>
    <row r="127" spans="1:124" ht="5.0999999999999996" customHeight="1">
      <c r="A127" s="12"/>
      <c r="B127" s="18"/>
      <c r="C127" s="19"/>
      <c r="D127" s="19"/>
      <c r="E127" s="19"/>
      <c r="F127" s="46"/>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171"/>
      <c r="AU127" s="171"/>
      <c r="AV127" s="171"/>
      <c r="AW127" s="171"/>
      <c r="AX127" s="171"/>
      <c r="AY127" s="171"/>
      <c r="AZ127" s="171"/>
      <c r="BA127" s="171"/>
      <c r="BB127" s="171"/>
      <c r="BC127" s="171"/>
      <c r="BD127" s="171"/>
      <c r="BE127" s="171"/>
      <c r="BF127" s="171"/>
      <c r="BG127" s="171"/>
      <c r="BH127" s="171"/>
      <c r="BI127" s="171"/>
      <c r="BJ127" s="171"/>
      <c r="BK127" s="171"/>
      <c r="BL127" s="171"/>
      <c r="BM127" s="171"/>
      <c r="BN127" s="171"/>
      <c r="BO127" s="171"/>
      <c r="BP127" s="171"/>
      <c r="BQ127" s="171"/>
      <c r="BR127" s="171"/>
      <c r="BS127" s="171"/>
      <c r="BT127" s="171"/>
      <c r="BU127" s="171"/>
      <c r="BV127" s="171"/>
      <c r="BW127" s="171"/>
      <c r="BX127" s="171"/>
      <c r="BY127" s="171"/>
      <c r="BZ127" s="171"/>
      <c r="CA127" s="171"/>
      <c r="CB127" s="171"/>
      <c r="CC127" s="171"/>
      <c r="CD127" s="171"/>
      <c r="CE127" s="171"/>
      <c r="CF127" s="171"/>
      <c r="CG127" s="171"/>
      <c r="CH127" s="171"/>
      <c r="CI127" s="171"/>
      <c r="CJ127" s="171"/>
      <c r="CK127" s="171"/>
      <c r="CL127" s="171"/>
      <c r="CM127" s="171"/>
      <c r="CN127" s="171"/>
      <c r="CO127" s="171"/>
      <c r="CP127" s="171"/>
      <c r="CQ127" s="171"/>
      <c r="CR127" s="171"/>
      <c r="CS127" s="171"/>
      <c r="CT127" s="171"/>
      <c r="CU127" s="171"/>
      <c r="CV127" s="171"/>
      <c r="CW127" s="171"/>
      <c r="CX127" s="171"/>
      <c r="CY127" s="171"/>
      <c r="CZ127" s="171"/>
      <c r="DA127" s="171"/>
      <c r="DB127" s="171"/>
      <c r="DC127" s="171"/>
      <c r="DD127" s="171"/>
      <c r="DE127" s="171"/>
      <c r="DF127" s="171"/>
      <c r="DG127" s="171"/>
      <c r="DH127" s="171"/>
      <c r="DI127" s="171"/>
      <c r="DJ127" s="171"/>
      <c r="DK127" s="171"/>
      <c r="DL127" s="171"/>
      <c r="DM127" s="171"/>
      <c r="DN127" s="171"/>
      <c r="DO127" s="47"/>
      <c r="DP127" s="19"/>
      <c r="DQ127" s="19"/>
      <c r="DR127" s="19"/>
      <c r="DS127" s="12"/>
      <c r="DT127" s="13"/>
    </row>
    <row r="128" spans="1:124" ht="324.75" customHeight="1">
      <c r="A128" s="12"/>
      <c r="B128" s="18"/>
      <c r="C128" s="19"/>
      <c r="D128" s="19"/>
      <c r="E128" s="19"/>
      <c r="F128" s="46"/>
      <c r="G128" s="172" t="s">
        <v>978</v>
      </c>
      <c r="H128" s="172"/>
      <c r="I128" s="172"/>
      <c r="J128" s="172"/>
      <c r="K128" s="172"/>
      <c r="L128" s="172"/>
      <c r="M128" s="172"/>
      <c r="N128" s="172"/>
      <c r="O128" s="172"/>
      <c r="P128" s="172"/>
      <c r="Q128" s="172"/>
      <c r="R128" s="172"/>
      <c r="S128" s="172"/>
      <c r="T128" s="172"/>
      <c r="U128" s="172"/>
      <c r="V128" s="172"/>
      <c r="W128" s="172"/>
      <c r="X128" s="172"/>
      <c r="Y128" s="172"/>
      <c r="Z128" s="172"/>
      <c r="AA128" s="172"/>
      <c r="AB128" s="172"/>
      <c r="AC128" s="172"/>
      <c r="AD128" s="172"/>
      <c r="AE128" s="172"/>
      <c r="AF128" s="172"/>
      <c r="AG128" s="172"/>
      <c r="AH128" s="172"/>
      <c r="AI128" s="172"/>
      <c r="AJ128" s="172"/>
      <c r="AK128" s="172"/>
      <c r="AL128" s="172"/>
      <c r="AM128" s="172"/>
      <c r="AN128" s="172"/>
      <c r="AO128" s="172"/>
      <c r="AP128" s="172"/>
      <c r="AQ128" s="172"/>
      <c r="AR128" s="172"/>
      <c r="AS128" s="172"/>
      <c r="AT128" s="172"/>
      <c r="AU128" s="172"/>
      <c r="AV128" s="172"/>
      <c r="AW128" s="172"/>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c r="DJ128" s="172"/>
      <c r="DK128" s="172"/>
      <c r="DL128" s="172"/>
      <c r="DM128" s="172"/>
      <c r="DN128" s="172"/>
      <c r="DO128" s="47"/>
      <c r="DP128" s="19"/>
      <c r="DQ128" s="19"/>
      <c r="DR128" s="19"/>
      <c r="DS128" s="12"/>
      <c r="DT128" s="13"/>
    </row>
    <row r="129" spans="1:124" ht="5.0999999999999996" customHeight="1">
      <c r="A129" s="12"/>
      <c r="B129" s="18"/>
      <c r="C129" s="19"/>
      <c r="D129" s="19"/>
      <c r="E129" s="19"/>
      <c r="F129" s="48"/>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50"/>
      <c r="DP129" s="19"/>
      <c r="DQ129" s="19"/>
      <c r="DR129" s="19"/>
      <c r="DS129" s="12"/>
      <c r="DT129" s="13"/>
    </row>
    <row r="130" spans="1:124" ht="15" customHeight="1">
      <c r="A130" s="12"/>
      <c r="B130" s="18"/>
      <c r="C130" s="19"/>
      <c r="D130" s="19"/>
      <c r="E130" s="19"/>
      <c r="F130" s="169" t="s">
        <v>974</v>
      </c>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169"/>
      <c r="BN130" s="169"/>
      <c r="BO130" s="169"/>
      <c r="BP130" s="169"/>
      <c r="BQ130" s="169"/>
      <c r="BR130" s="169"/>
      <c r="BS130" s="169"/>
      <c r="BT130" s="169"/>
      <c r="BU130" s="169"/>
      <c r="BV130" s="169"/>
      <c r="BW130" s="169"/>
      <c r="BX130" s="169"/>
      <c r="BY130" s="169"/>
      <c r="BZ130" s="169"/>
      <c r="CA130" s="169"/>
      <c r="CB130" s="169"/>
      <c r="CC130" s="169"/>
      <c r="CD130" s="169"/>
      <c r="CE130" s="169"/>
      <c r="CF130" s="169"/>
      <c r="CG130" s="169"/>
      <c r="CH130" s="169"/>
      <c r="CI130" s="169"/>
      <c r="CJ130" s="169"/>
      <c r="CK130" s="169"/>
      <c r="CL130" s="169"/>
      <c r="CM130" s="169"/>
      <c r="CN130" s="169"/>
      <c r="CO130" s="169"/>
      <c r="CP130" s="169"/>
      <c r="CQ130" s="169"/>
      <c r="CR130" s="169"/>
      <c r="CS130" s="169"/>
      <c r="CT130" s="169"/>
      <c r="CU130" s="169"/>
      <c r="CV130" s="169"/>
      <c r="CW130" s="169"/>
      <c r="CX130" s="169"/>
      <c r="CY130" s="169"/>
      <c r="CZ130" s="169"/>
      <c r="DA130" s="169"/>
      <c r="DB130" s="169"/>
      <c r="DC130" s="169"/>
      <c r="DD130" s="169"/>
      <c r="DE130" s="169"/>
      <c r="DF130" s="169"/>
      <c r="DG130" s="169"/>
      <c r="DH130" s="169"/>
      <c r="DI130" s="169"/>
      <c r="DJ130" s="169"/>
      <c r="DK130" s="169"/>
      <c r="DL130" s="169"/>
      <c r="DM130" s="169"/>
      <c r="DN130" s="169"/>
      <c r="DO130" s="169"/>
      <c r="DP130" s="19"/>
      <c r="DQ130" s="19"/>
      <c r="DR130" s="19"/>
      <c r="DS130" s="12"/>
      <c r="DT130" s="13"/>
    </row>
    <row r="131" spans="1:124" ht="5.0999999999999996" customHeight="1">
      <c r="DS131" s="12"/>
    </row>
    <row r="132" spans="1:124" ht="5.0999999999999996" customHeight="1">
      <c r="B132" s="12"/>
      <c r="DS132" s="12"/>
    </row>
    <row r="133" spans="1:124" s="5" customFormat="1" ht="15" customHeight="1">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row>
    <row r="134" spans="1:124" s="5" customFormat="1" ht="42" customHeight="1" thickBot="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row>
    <row r="135" spans="1:124" s="5" customFormat="1" ht="5.0999999999999996" customHeight="1" thickTop="1">
      <c r="C135" s="106"/>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8"/>
      <c r="DS135" s="12"/>
      <c r="DT135" s="12"/>
    </row>
    <row r="136" spans="1:124" s="5" customFormat="1" ht="2.1" customHeight="1">
      <c r="C136" s="10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10"/>
      <c r="DS136" s="12"/>
      <c r="DT136" s="12"/>
    </row>
    <row r="137" spans="1:124" ht="5.0999999999999996" customHeight="1">
      <c r="A137" s="12"/>
      <c r="C137" s="109"/>
      <c r="D137" s="43"/>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5"/>
      <c r="DR137" s="110"/>
      <c r="DS137" s="12"/>
      <c r="DT137" s="13"/>
    </row>
    <row r="138" spans="1:124" ht="15" customHeight="1">
      <c r="A138" s="12"/>
      <c r="C138" s="109"/>
      <c r="D138" s="46"/>
      <c r="E138" s="125" t="s">
        <v>979</v>
      </c>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49"/>
      <c r="AR138" s="123" t="s">
        <v>980</v>
      </c>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3"/>
      <c r="BQ138" s="123"/>
      <c r="BR138" s="123"/>
      <c r="BS138" s="123"/>
      <c r="BT138" s="123"/>
      <c r="BU138" s="123"/>
      <c r="BV138" s="123"/>
      <c r="BW138" s="123"/>
      <c r="BX138" s="123"/>
      <c r="BY138" s="100"/>
      <c r="BZ138" s="123" t="s">
        <v>981</v>
      </c>
      <c r="CA138" s="123"/>
      <c r="CB138" s="123"/>
      <c r="CC138" s="123"/>
      <c r="CD138" s="123"/>
      <c r="CE138" s="123"/>
      <c r="CF138" s="123"/>
      <c r="CG138" s="100"/>
      <c r="CH138" s="123" t="s">
        <v>982</v>
      </c>
      <c r="CI138" s="123"/>
      <c r="CJ138" s="123"/>
      <c r="CK138" s="123"/>
      <c r="CL138" s="123"/>
      <c r="CM138" s="123"/>
      <c r="CN138" s="100"/>
      <c r="CO138" s="125" t="s">
        <v>983</v>
      </c>
      <c r="CP138" s="125"/>
      <c r="CQ138" s="125"/>
      <c r="CR138" s="125"/>
      <c r="CS138" s="125"/>
      <c r="CT138" s="125"/>
      <c r="CU138" s="125"/>
      <c r="CV138" s="125"/>
      <c r="CW138" s="125"/>
      <c r="CX138" s="125"/>
      <c r="CY138" s="125"/>
      <c r="CZ138" s="125"/>
      <c r="DA138" s="100"/>
      <c r="DB138" s="123" t="s">
        <v>984</v>
      </c>
      <c r="DC138" s="123"/>
      <c r="DD138" s="123"/>
      <c r="DE138" s="123"/>
      <c r="DF138" s="123"/>
      <c r="DG138" s="123"/>
      <c r="DH138" s="123"/>
      <c r="DI138" s="123"/>
      <c r="DJ138" s="100"/>
      <c r="DK138" s="125" t="s">
        <v>985</v>
      </c>
      <c r="DL138" s="125"/>
      <c r="DM138" s="125"/>
      <c r="DN138" s="125"/>
      <c r="DO138" s="125"/>
      <c r="DP138" s="125"/>
      <c r="DQ138" s="47"/>
      <c r="DR138" s="110"/>
    </row>
    <row r="139" spans="1:124" ht="15" customHeight="1">
      <c r="A139" s="52"/>
      <c r="C139" s="109"/>
      <c r="D139" s="46"/>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5"/>
      <c r="AH139" s="125"/>
      <c r="AI139" s="125"/>
      <c r="AJ139" s="125"/>
      <c r="AK139" s="125"/>
      <c r="AL139" s="125"/>
      <c r="AM139" s="125"/>
      <c r="AN139" s="125"/>
      <c r="AO139" s="125"/>
      <c r="AP139" s="125"/>
      <c r="AQ139" s="49"/>
      <c r="AR139" s="127" t="s">
        <v>986</v>
      </c>
      <c r="AS139" s="127"/>
      <c r="AT139" s="127"/>
      <c r="AU139" s="127"/>
      <c r="AV139" s="127"/>
      <c r="AW139" s="127"/>
      <c r="AX139" s="127"/>
      <c r="AY139" s="127"/>
      <c r="AZ139" s="127"/>
      <c r="BA139" s="127"/>
      <c r="BB139" s="127"/>
      <c r="BC139" s="127"/>
      <c r="BD139" s="127"/>
      <c r="BE139" s="127"/>
      <c r="BF139" s="127"/>
      <c r="BG139" s="127"/>
      <c r="BH139" s="127"/>
      <c r="BI139" s="127"/>
      <c r="BJ139" s="127"/>
      <c r="BK139" s="127"/>
      <c r="BL139" s="127"/>
      <c r="BM139" s="127"/>
      <c r="BN139" s="127"/>
      <c r="BO139" s="127"/>
      <c r="BP139" s="127"/>
      <c r="BQ139" s="127"/>
      <c r="BR139" s="127"/>
      <c r="BS139" s="127"/>
      <c r="BT139" s="127"/>
      <c r="BU139" s="127"/>
      <c r="BV139" s="127"/>
      <c r="BW139" s="127"/>
      <c r="BX139" s="127"/>
      <c r="BY139" s="100"/>
      <c r="BZ139" s="124" t="s">
        <v>987</v>
      </c>
      <c r="CA139" s="124"/>
      <c r="CB139" s="124"/>
      <c r="CC139" s="124"/>
      <c r="CD139" s="124"/>
      <c r="CE139" s="124"/>
      <c r="CF139" s="124"/>
      <c r="CG139" s="100"/>
      <c r="CH139" s="124" t="s">
        <v>988</v>
      </c>
      <c r="CI139" s="124"/>
      <c r="CJ139" s="124"/>
      <c r="CK139" s="124"/>
      <c r="CL139" s="124"/>
      <c r="CM139" s="124"/>
      <c r="CN139" s="100"/>
      <c r="CO139" s="126" t="s">
        <v>989</v>
      </c>
      <c r="CP139" s="126"/>
      <c r="CQ139" s="126"/>
      <c r="CR139" s="126"/>
      <c r="CS139" s="126"/>
      <c r="CT139" s="126"/>
      <c r="CU139" s="126"/>
      <c r="CV139" s="126"/>
      <c r="CW139" s="126"/>
      <c r="CX139" s="126"/>
      <c r="CY139" s="126"/>
      <c r="CZ139" s="126"/>
      <c r="DA139" s="100"/>
      <c r="DB139" s="124" t="s">
        <v>990</v>
      </c>
      <c r="DC139" s="124"/>
      <c r="DD139" s="124"/>
      <c r="DE139" s="124"/>
      <c r="DF139" s="124"/>
      <c r="DG139" s="124"/>
      <c r="DH139" s="124"/>
      <c r="DI139" s="124"/>
      <c r="DJ139" s="100"/>
      <c r="DK139" s="125" t="s">
        <v>990</v>
      </c>
      <c r="DL139" s="125"/>
      <c r="DM139" s="125"/>
      <c r="DN139" s="125"/>
      <c r="DO139" s="125"/>
      <c r="DP139" s="125"/>
      <c r="DQ139" s="47"/>
      <c r="DR139" s="110"/>
    </row>
    <row r="140" spans="1:124" ht="1.35" customHeight="1" thickBot="1">
      <c r="A140" s="52">
        <v>5</v>
      </c>
      <c r="C140" s="109"/>
      <c r="D140" s="46"/>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47"/>
      <c r="DR140" s="110"/>
    </row>
    <row r="141" spans="1:124" ht="33.950000000000003" customHeight="1" thickTop="1" thickBot="1">
      <c r="A141" s="52">
        <v>32</v>
      </c>
      <c r="C141" s="109"/>
      <c r="D141" s="46"/>
      <c r="E141" s="118" t="s">
        <v>991</v>
      </c>
      <c r="F141" s="118"/>
      <c r="G141" s="118"/>
      <c r="H141" s="118"/>
      <c r="I141" s="119" t="s">
        <v>992</v>
      </c>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03"/>
      <c r="AR141" s="104"/>
      <c r="AS141" s="119" t="s">
        <v>993</v>
      </c>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05"/>
      <c r="BZ141" s="117" t="s">
        <v>994</v>
      </c>
      <c r="CA141" s="117"/>
      <c r="CB141" s="117"/>
      <c r="CC141" s="117"/>
      <c r="CD141" s="117"/>
      <c r="CE141" s="117"/>
      <c r="CF141" s="117"/>
      <c r="CG141" s="105"/>
      <c r="CH141" s="120">
        <v>2</v>
      </c>
      <c r="CI141" s="120"/>
      <c r="CJ141" s="120"/>
      <c r="CK141" s="120"/>
      <c r="CL141" s="120"/>
      <c r="CM141" s="120"/>
      <c r="CN141" s="105"/>
      <c r="CO141" s="121" t="s">
        <v>995</v>
      </c>
      <c r="CP141" s="121"/>
      <c r="CQ141" s="121"/>
      <c r="CR141" s="121"/>
      <c r="CS141" s="121"/>
      <c r="CT141" s="121"/>
      <c r="CU141" s="121"/>
      <c r="CV141" s="121"/>
      <c r="CW141" s="121"/>
      <c r="CX141" s="121"/>
      <c r="CY141" s="121"/>
      <c r="CZ141" s="121"/>
      <c r="DA141" s="105"/>
      <c r="DB141" s="122" t="s">
        <v>996</v>
      </c>
      <c r="DC141" s="122"/>
      <c r="DD141" s="122"/>
      <c r="DE141" s="122"/>
      <c r="DF141" s="122"/>
      <c r="DG141" s="122"/>
      <c r="DH141" s="122"/>
      <c r="DI141" s="122"/>
      <c r="DJ141" s="105"/>
      <c r="DK141" s="120">
        <v>5</v>
      </c>
      <c r="DL141" s="120"/>
      <c r="DM141" s="120"/>
      <c r="DN141" s="120"/>
      <c r="DO141" s="120"/>
      <c r="DP141" s="120"/>
      <c r="DQ141" s="47"/>
      <c r="DR141" s="110"/>
    </row>
    <row r="142" spans="1:124" ht="33.950000000000003" customHeight="1" thickTop="1" thickBot="1">
      <c r="A142" s="52">
        <v>32</v>
      </c>
      <c r="C142" s="109"/>
      <c r="D142" s="46"/>
      <c r="E142" s="118" t="s">
        <v>997</v>
      </c>
      <c r="F142" s="118"/>
      <c r="G142" s="118"/>
      <c r="H142" s="118"/>
      <c r="I142" s="119" t="s">
        <v>998</v>
      </c>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03"/>
      <c r="AR142" s="104"/>
      <c r="AS142" s="119" t="s">
        <v>999</v>
      </c>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05"/>
      <c r="BZ142" s="117" t="s">
        <v>959</v>
      </c>
      <c r="CA142" s="117"/>
      <c r="CB142" s="117"/>
      <c r="CC142" s="117"/>
      <c r="CD142" s="117"/>
      <c r="CE142" s="117"/>
      <c r="CF142" s="117"/>
      <c r="CG142" s="105"/>
      <c r="CH142" s="120">
        <v>2</v>
      </c>
      <c r="CI142" s="120"/>
      <c r="CJ142" s="120"/>
      <c r="CK142" s="120"/>
      <c r="CL142" s="120"/>
      <c r="CM142" s="120"/>
      <c r="CN142" s="105"/>
      <c r="CO142" s="121" t="s">
        <v>995</v>
      </c>
      <c r="CP142" s="121"/>
      <c r="CQ142" s="121"/>
      <c r="CR142" s="121"/>
      <c r="CS142" s="121"/>
      <c r="CT142" s="121"/>
      <c r="CU142" s="121"/>
      <c r="CV142" s="121"/>
      <c r="CW142" s="121"/>
      <c r="CX142" s="121"/>
      <c r="CY142" s="121"/>
      <c r="CZ142" s="121"/>
      <c r="DA142" s="105"/>
      <c r="DB142" s="122" t="s">
        <v>1000</v>
      </c>
      <c r="DC142" s="122"/>
      <c r="DD142" s="122"/>
      <c r="DE142" s="122"/>
      <c r="DF142" s="122"/>
      <c r="DG142" s="122"/>
      <c r="DH142" s="122"/>
      <c r="DI142" s="122"/>
      <c r="DJ142" s="105"/>
      <c r="DK142" s="120">
        <v>5</v>
      </c>
      <c r="DL142" s="120"/>
      <c r="DM142" s="120"/>
      <c r="DN142" s="120"/>
      <c r="DO142" s="120"/>
      <c r="DP142" s="120"/>
      <c r="DQ142" s="47"/>
      <c r="DR142" s="110"/>
    </row>
    <row r="143" spans="1:124" ht="33.950000000000003" customHeight="1" thickTop="1" thickBot="1">
      <c r="A143" s="52">
        <v>32</v>
      </c>
      <c r="C143" s="109"/>
      <c r="D143" s="46"/>
      <c r="E143" s="118" t="s">
        <v>1001</v>
      </c>
      <c r="F143" s="118"/>
      <c r="G143" s="118"/>
      <c r="H143" s="118"/>
      <c r="I143" s="119" t="s">
        <v>1002</v>
      </c>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03"/>
      <c r="AR143" s="104"/>
      <c r="AS143" s="119" t="s">
        <v>1003</v>
      </c>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05"/>
      <c r="BZ143" s="117" t="s">
        <v>1004</v>
      </c>
      <c r="CA143" s="117"/>
      <c r="CB143" s="117"/>
      <c r="CC143" s="117"/>
      <c r="CD143" s="117"/>
      <c r="CE143" s="117"/>
      <c r="CF143" s="117"/>
      <c r="CG143" s="105"/>
      <c r="CH143" s="120">
        <v>14</v>
      </c>
      <c r="CI143" s="120"/>
      <c r="CJ143" s="120"/>
      <c r="CK143" s="120"/>
      <c r="CL143" s="120"/>
      <c r="CM143" s="120"/>
      <c r="CN143" s="105"/>
      <c r="CO143" s="121" t="s">
        <v>995</v>
      </c>
      <c r="CP143" s="121"/>
      <c r="CQ143" s="121"/>
      <c r="CR143" s="121"/>
      <c r="CS143" s="121"/>
      <c r="CT143" s="121"/>
      <c r="CU143" s="121"/>
      <c r="CV143" s="121"/>
      <c r="CW143" s="121"/>
      <c r="CX143" s="121"/>
      <c r="CY143" s="121"/>
      <c r="CZ143" s="121"/>
      <c r="DA143" s="105"/>
      <c r="DB143" s="122" t="s">
        <v>1005</v>
      </c>
      <c r="DC143" s="122"/>
      <c r="DD143" s="122"/>
      <c r="DE143" s="122"/>
      <c r="DF143" s="122"/>
      <c r="DG143" s="122"/>
      <c r="DH143" s="122"/>
      <c r="DI143" s="122"/>
      <c r="DJ143" s="105"/>
      <c r="DK143" s="120">
        <v>0</v>
      </c>
      <c r="DL143" s="120"/>
      <c r="DM143" s="120"/>
      <c r="DN143" s="120"/>
      <c r="DO143" s="120"/>
      <c r="DP143" s="120"/>
      <c r="DQ143" s="47"/>
      <c r="DR143" s="110"/>
    </row>
    <row r="144" spans="1:124" ht="33.950000000000003" customHeight="1" thickTop="1" thickBot="1">
      <c r="A144" s="52">
        <v>32</v>
      </c>
      <c r="C144" s="109"/>
      <c r="D144" s="46"/>
      <c r="E144" s="118" t="s">
        <v>1006</v>
      </c>
      <c r="F144" s="118"/>
      <c r="G144" s="118"/>
      <c r="H144" s="118"/>
      <c r="I144" s="119" t="s">
        <v>1007</v>
      </c>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03"/>
      <c r="AR144" s="104"/>
      <c r="AS144" s="119" t="s">
        <v>1008</v>
      </c>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05"/>
      <c r="BZ144" s="117" t="s">
        <v>1009</v>
      </c>
      <c r="CA144" s="117"/>
      <c r="CB144" s="117"/>
      <c r="CC144" s="117"/>
      <c r="CD144" s="117"/>
      <c r="CE144" s="117"/>
      <c r="CF144" s="117"/>
      <c r="CG144" s="105"/>
      <c r="CH144" s="120">
        <v>5</v>
      </c>
      <c r="CI144" s="120"/>
      <c r="CJ144" s="120"/>
      <c r="CK144" s="120"/>
      <c r="CL144" s="120"/>
      <c r="CM144" s="120"/>
      <c r="CN144" s="105"/>
      <c r="CO144" s="121" t="s">
        <v>995</v>
      </c>
      <c r="CP144" s="121"/>
      <c r="CQ144" s="121"/>
      <c r="CR144" s="121"/>
      <c r="CS144" s="121"/>
      <c r="CT144" s="121"/>
      <c r="CU144" s="121"/>
      <c r="CV144" s="121"/>
      <c r="CW144" s="121"/>
      <c r="CX144" s="121"/>
      <c r="CY144" s="121"/>
      <c r="CZ144" s="121"/>
      <c r="DA144" s="105"/>
      <c r="DB144" s="122" t="s">
        <v>1010</v>
      </c>
      <c r="DC144" s="122"/>
      <c r="DD144" s="122"/>
      <c r="DE144" s="122"/>
      <c r="DF144" s="122"/>
      <c r="DG144" s="122"/>
      <c r="DH144" s="122"/>
      <c r="DI144" s="122"/>
      <c r="DJ144" s="105"/>
      <c r="DK144" s="120">
        <v>5</v>
      </c>
      <c r="DL144" s="120"/>
      <c r="DM144" s="120"/>
      <c r="DN144" s="120"/>
      <c r="DO144" s="120"/>
      <c r="DP144" s="120"/>
      <c r="DQ144" s="47"/>
      <c r="DR144" s="110"/>
    </row>
    <row r="145" spans="1:122" ht="33.950000000000003" customHeight="1" thickTop="1" thickBot="1">
      <c r="A145" s="52">
        <v>32</v>
      </c>
      <c r="C145" s="109"/>
      <c r="D145" s="46"/>
      <c r="E145" s="118" t="s">
        <v>1011</v>
      </c>
      <c r="F145" s="118"/>
      <c r="G145" s="118"/>
      <c r="H145" s="118"/>
      <c r="I145" s="119" t="s">
        <v>1012</v>
      </c>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03"/>
      <c r="AR145" s="104"/>
      <c r="AS145" s="119" t="s">
        <v>1013</v>
      </c>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05"/>
      <c r="BZ145" s="117" t="s">
        <v>1014</v>
      </c>
      <c r="CA145" s="117"/>
      <c r="CB145" s="117"/>
      <c r="CC145" s="117"/>
      <c r="CD145" s="117"/>
      <c r="CE145" s="117"/>
      <c r="CF145" s="117"/>
      <c r="CG145" s="105"/>
      <c r="CH145" s="120">
        <v>5</v>
      </c>
      <c r="CI145" s="120"/>
      <c r="CJ145" s="120"/>
      <c r="CK145" s="120"/>
      <c r="CL145" s="120"/>
      <c r="CM145" s="120"/>
      <c r="CN145" s="105"/>
      <c r="CO145" s="121" t="s">
        <v>995</v>
      </c>
      <c r="CP145" s="121"/>
      <c r="CQ145" s="121"/>
      <c r="CR145" s="121"/>
      <c r="CS145" s="121"/>
      <c r="CT145" s="121"/>
      <c r="CU145" s="121"/>
      <c r="CV145" s="121"/>
      <c r="CW145" s="121"/>
      <c r="CX145" s="121"/>
      <c r="CY145" s="121"/>
      <c r="CZ145" s="121"/>
      <c r="DA145" s="105"/>
      <c r="DB145" s="122" t="s">
        <v>969</v>
      </c>
      <c r="DC145" s="122"/>
      <c r="DD145" s="122"/>
      <c r="DE145" s="122"/>
      <c r="DF145" s="122"/>
      <c r="DG145" s="122"/>
      <c r="DH145" s="122"/>
      <c r="DI145" s="122"/>
      <c r="DJ145" s="105"/>
      <c r="DK145" s="120">
        <v>0</v>
      </c>
      <c r="DL145" s="120"/>
      <c r="DM145" s="120"/>
      <c r="DN145" s="120"/>
      <c r="DO145" s="120"/>
      <c r="DP145" s="120"/>
      <c r="DQ145" s="47"/>
      <c r="DR145" s="110"/>
    </row>
    <row r="146" spans="1:122" ht="33.950000000000003" customHeight="1" thickTop="1" thickBot="1">
      <c r="A146" s="52">
        <v>32</v>
      </c>
      <c r="C146" s="109"/>
      <c r="D146" s="46"/>
      <c r="E146" s="118" t="s">
        <v>1015</v>
      </c>
      <c r="F146" s="118"/>
      <c r="G146" s="118"/>
      <c r="H146" s="118"/>
      <c r="I146" s="119" t="s">
        <v>1016</v>
      </c>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03"/>
      <c r="AR146" s="104"/>
      <c r="AS146" s="119" t="s">
        <v>1017</v>
      </c>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05"/>
      <c r="BZ146" s="117" t="s">
        <v>1018</v>
      </c>
      <c r="CA146" s="117"/>
      <c r="CB146" s="117"/>
      <c r="CC146" s="117"/>
      <c r="CD146" s="117"/>
      <c r="CE146" s="117"/>
      <c r="CF146" s="117"/>
      <c r="CG146" s="105"/>
      <c r="CH146" s="120">
        <v>5</v>
      </c>
      <c r="CI146" s="120"/>
      <c r="CJ146" s="120"/>
      <c r="CK146" s="120"/>
      <c r="CL146" s="120"/>
      <c r="CM146" s="120"/>
      <c r="CN146" s="105"/>
      <c r="CO146" s="121" t="s">
        <v>995</v>
      </c>
      <c r="CP146" s="121"/>
      <c r="CQ146" s="121"/>
      <c r="CR146" s="121"/>
      <c r="CS146" s="121"/>
      <c r="CT146" s="121"/>
      <c r="CU146" s="121"/>
      <c r="CV146" s="121"/>
      <c r="CW146" s="121"/>
      <c r="CX146" s="121"/>
      <c r="CY146" s="121"/>
      <c r="CZ146" s="121"/>
      <c r="DA146" s="105"/>
      <c r="DB146" s="122" t="s">
        <v>1005</v>
      </c>
      <c r="DC146" s="122"/>
      <c r="DD146" s="122"/>
      <c r="DE146" s="122"/>
      <c r="DF146" s="122"/>
      <c r="DG146" s="122"/>
      <c r="DH146" s="122"/>
      <c r="DI146" s="122"/>
      <c r="DJ146" s="105"/>
      <c r="DK146" s="120">
        <v>10</v>
      </c>
      <c r="DL146" s="120"/>
      <c r="DM146" s="120"/>
      <c r="DN146" s="120"/>
      <c r="DO146" s="120"/>
      <c r="DP146" s="120"/>
      <c r="DQ146" s="47"/>
      <c r="DR146" s="110"/>
    </row>
    <row r="147" spans="1:122" ht="33.950000000000003" customHeight="1" thickTop="1" thickBot="1">
      <c r="A147" s="52">
        <v>32</v>
      </c>
      <c r="C147" s="109"/>
      <c r="D147" s="46"/>
      <c r="E147" s="118" t="s">
        <v>1020</v>
      </c>
      <c r="F147" s="118"/>
      <c r="G147" s="118"/>
      <c r="H147" s="118"/>
      <c r="I147" s="119" t="s">
        <v>1021</v>
      </c>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03"/>
      <c r="AR147" s="104"/>
      <c r="AS147" s="119" t="s">
        <v>1022</v>
      </c>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05"/>
      <c r="BZ147" s="117" t="s">
        <v>1023</v>
      </c>
      <c r="CA147" s="117"/>
      <c r="CB147" s="117"/>
      <c r="CC147" s="117"/>
      <c r="CD147" s="117"/>
      <c r="CE147" s="117"/>
      <c r="CF147" s="117"/>
      <c r="CG147" s="105"/>
      <c r="CH147" s="120">
        <v>10</v>
      </c>
      <c r="CI147" s="120"/>
      <c r="CJ147" s="120"/>
      <c r="CK147" s="120"/>
      <c r="CL147" s="120"/>
      <c r="CM147" s="120"/>
      <c r="CN147" s="105"/>
      <c r="CO147" s="121" t="s">
        <v>995</v>
      </c>
      <c r="CP147" s="121"/>
      <c r="CQ147" s="121"/>
      <c r="CR147" s="121"/>
      <c r="CS147" s="121"/>
      <c r="CT147" s="121"/>
      <c r="CU147" s="121"/>
      <c r="CV147" s="121"/>
      <c r="CW147" s="121"/>
      <c r="CX147" s="121"/>
      <c r="CY147" s="121"/>
      <c r="CZ147" s="121"/>
      <c r="DA147" s="105"/>
      <c r="DB147" s="122" t="s">
        <v>1024</v>
      </c>
      <c r="DC147" s="122"/>
      <c r="DD147" s="122"/>
      <c r="DE147" s="122"/>
      <c r="DF147" s="122"/>
      <c r="DG147" s="122"/>
      <c r="DH147" s="122"/>
      <c r="DI147" s="122"/>
      <c r="DJ147" s="105"/>
      <c r="DK147" s="120">
        <v>10</v>
      </c>
      <c r="DL147" s="120"/>
      <c r="DM147" s="120"/>
      <c r="DN147" s="120"/>
      <c r="DO147" s="120"/>
      <c r="DP147" s="120"/>
      <c r="DQ147" s="47"/>
      <c r="DR147" s="110"/>
    </row>
    <row r="148" spans="1:122" ht="33.950000000000003" customHeight="1" thickTop="1" thickBot="1">
      <c r="A148" s="52">
        <v>32</v>
      </c>
      <c r="C148" s="109"/>
      <c r="D148" s="46"/>
      <c r="E148" s="118" t="s">
        <v>1025</v>
      </c>
      <c r="F148" s="118"/>
      <c r="G148" s="118"/>
      <c r="H148" s="118"/>
      <c r="I148" s="119" t="s">
        <v>1026</v>
      </c>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03"/>
      <c r="AR148" s="104"/>
      <c r="AS148" s="119" t="s">
        <v>1027</v>
      </c>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05"/>
      <c r="BZ148" s="117" t="s">
        <v>1028</v>
      </c>
      <c r="CA148" s="117"/>
      <c r="CB148" s="117"/>
      <c r="CC148" s="117"/>
      <c r="CD148" s="117"/>
      <c r="CE148" s="117"/>
      <c r="CF148" s="117"/>
      <c r="CG148" s="105"/>
      <c r="CH148" s="120">
        <v>20</v>
      </c>
      <c r="CI148" s="120"/>
      <c r="CJ148" s="120"/>
      <c r="CK148" s="120"/>
      <c r="CL148" s="120"/>
      <c r="CM148" s="120"/>
      <c r="CN148" s="105"/>
      <c r="CO148" s="121" t="s">
        <v>995</v>
      </c>
      <c r="CP148" s="121"/>
      <c r="CQ148" s="121"/>
      <c r="CR148" s="121"/>
      <c r="CS148" s="121"/>
      <c r="CT148" s="121"/>
      <c r="CU148" s="121"/>
      <c r="CV148" s="121"/>
      <c r="CW148" s="121"/>
      <c r="CX148" s="121"/>
      <c r="CY148" s="121"/>
      <c r="CZ148" s="121"/>
      <c r="DA148" s="105"/>
      <c r="DB148" s="122" t="s">
        <v>1005</v>
      </c>
      <c r="DC148" s="122"/>
      <c r="DD148" s="122"/>
      <c r="DE148" s="122"/>
      <c r="DF148" s="122"/>
      <c r="DG148" s="122"/>
      <c r="DH148" s="122"/>
      <c r="DI148" s="122"/>
      <c r="DJ148" s="105"/>
      <c r="DK148" s="120">
        <v>0</v>
      </c>
      <c r="DL148" s="120"/>
      <c r="DM148" s="120"/>
      <c r="DN148" s="120"/>
      <c r="DO148" s="120"/>
      <c r="DP148" s="120"/>
      <c r="DQ148" s="47"/>
      <c r="DR148" s="110"/>
    </row>
    <row r="149" spans="1:122" ht="33.950000000000003" customHeight="1" thickTop="1" thickBot="1">
      <c r="A149" s="52">
        <v>32</v>
      </c>
      <c r="C149" s="109"/>
      <c r="D149" s="46"/>
      <c r="E149" s="118" t="s">
        <v>1029</v>
      </c>
      <c r="F149" s="118"/>
      <c r="G149" s="118"/>
      <c r="H149" s="118"/>
      <c r="I149" s="119" t="s">
        <v>1030</v>
      </c>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03"/>
      <c r="AR149" s="104"/>
      <c r="AS149" s="119" t="s">
        <v>1031</v>
      </c>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05"/>
      <c r="BZ149" s="117" t="s">
        <v>1032</v>
      </c>
      <c r="CA149" s="117"/>
      <c r="CB149" s="117"/>
      <c r="CC149" s="117"/>
      <c r="CD149" s="117"/>
      <c r="CE149" s="117"/>
      <c r="CF149" s="117"/>
      <c r="CG149" s="105"/>
      <c r="CH149" s="120">
        <v>10</v>
      </c>
      <c r="CI149" s="120"/>
      <c r="CJ149" s="120"/>
      <c r="CK149" s="120"/>
      <c r="CL149" s="120"/>
      <c r="CM149" s="120"/>
      <c r="CN149" s="105"/>
      <c r="CO149" s="121" t="s">
        <v>995</v>
      </c>
      <c r="CP149" s="121"/>
      <c r="CQ149" s="121"/>
      <c r="CR149" s="121"/>
      <c r="CS149" s="121"/>
      <c r="CT149" s="121"/>
      <c r="CU149" s="121"/>
      <c r="CV149" s="121"/>
      <c r="CW149" s="121"/>
      <c r="CX149" s="121"/>
      <c r="CY149" s="121"/>
      <c r="CZ149" s="121"/>
      <c r="DA149" s="105"/>
      <c r="DB149" s="122" t="s">
        <v>1033</v>
      </c>
      <c r="DC149" s="122"/>
      <c r="DD149" s="122"/>
      <c r="DE149" s="122"/>
      <c r="DF149" s="122"/>
      <c r="DG149" s="122"/>
      <c r="DH149" s="122"/>
      <c r="DI149" s="122"/>
      <c r="DJ149" s="105"/>
      <c r="DK149" s="120">
        <v>20</v>
      </c>
      <c r="DL149" s="120"/>
      <c r="DM149" s="120"/>
      <c r="DN149" s="120"/>
      <c r="DO149" s="120"/>
      <c r="DP149" s="120"/>
      <c r="DQ149" s="47"/>
      <c r="DR149" s="110"/>
    </row>
    <row r="150" spans="1:122" ht="33.950000000000003" customHeight="1" thickTop="1" thickBot="1">
      <c r="A150" s="52">
        <v>32</v>
      </c>
      <c r="C150" s="109"/>
      <c r="D150" s="46"/>
      <c r="E150" s="118" t="s">
        <v>1034</v>
      </c>
      <c r="F150" s="118"/>
      <c r="G150" s="118"/>
      <c r="H150" s="118"/>
      <c r="I150" s="119" t="s">
        <v>1035</v>
      </c>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03"/>
      <c r="AR150" s="104"/>
      <c r="AS150" s="119" t="s">
        <v>1036</v>
      </c>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05"/>
      <c r="BZ150" s="117" t="s">
        <v>1037</v>
      </c>
      <c r="CA150" s="117"/>
      <c r="CB150" s="117"/>
      <c r="CC150" s="117"/>
      <c r="CD150" s="117"/>
      <c r="CE150" s="117"/>
      <c r="CF150" s="117"/>
      <c r="CG150" s="105"/>
      <c r="CH150" s="120">
        <v>5</v>
      </c>
      <c r="CI150" s="120"/>
      <c r="CJ150" s="120"/>
      <c r="CK150" s="120"/>
      <c r="CL150" s="120"/>
      <c r="CM150" s="120"/>
      <c r="CN150" s="105"/>
      <c r="CO150" s="121" t="s">
        <v>1038</v>
      </c>
      <c r="CP150" s="121"/>
      <c r="CQ150" s="121"/>
      <c r="CR150" s="121"/>
      <c r="CS150" s="121"/>
      <c r="CT150" s="121"/>
      <c r="CU150" s="121"/>
      <c r="CV150" s="121"/>
      <c r="CW150" s="121"/>
      <c r="CX150" s="121"/>
      <c r="CY150" s="121"/>
      <c r="CZ150" s="121"/>
      <c r="DA150" s="105"/>
      <c r="DB150" s="122" t="s">
        <v>1033</v>
      </c>
      <c r="DC150" s="122"/>
      <c r="DD150" s="122"/>
      <c r="DE150" s="122"/>
      <c r="DF150" s="122"/>
      <c r="DG150" s="122"/>
      <c r="DH150" s="122"/>
      <c r="DI150" s="122"/>
      <c r="DJ150" s="105"/>
      <c r="DK150" s="120">
        <v>5</v>
      </c>
      <c r="DL150" s="120"/>
      <c r="DM150" s="120"/>
      <c r="DN150" s="120"/>
      <c r="DO150" s="120"/>
      <c r="DP150" s="120"/>
      <c r="DQ150" s="47"/>
      <c r="DR150" s="110"/>
    </row>
    <row r="151" spans="1:122" ht="33.950000000000003" customHeight="1" thickTop="1" thickBot="1">
      <c r="A151" s="52">
        <v>32</v>
      </c>
      <c r="C151" s="109"/>
      <c r="D151" s="46"/>
      <c r="E151" s="118" t="s">
        <v>1039</v>
      </c>
      <c r="F151" s="118"/>
      <c r="G151" s="118"/>
      <c r="H151" s="118"/>
      <c r="I151" s="119" t="s">
        <v>1164</v>
      </c>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03"/>
      <c r="AR151" s="104"/>
      <c r="AS151" s="119" t="s">
        <v>1167</v>
      </c>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05"/>
      <c r="BZ151" s="117" t="s">
        <v>1160</v>
      </c>
      <c r="CA151" s="117"/>
      <c r="CB151" s="117"/>
      <c r="CC151" s="117"/>
      <c r="CD151" s="117"/>
      <c r="CE151" s="117"/>
      <c r="CF151" s="117"/>
      <c r="CG151" s="105"/>
      <c r="CH151" s="120">
        <v>6</v>
      </c>
      <c r="CI151" s="120"/>
      <c r="CJ151" s="120"/>
      <c r="CK151" s="120"/>
      <c r="CL151" s="120"/>
      <c r="CM151" s="120"/>
      <c r="CN151" s="105"/>
      <c r="CO151" s="121" t="s">
        <v>995</v>
      </c>
      <c r="CP151" s="121"/>
      <c r="CQ151" s="121"/>
      <c r="CR151" s="121"/>
      <c r="CS151" s="121"/>
      <c r="CT151" s="121"/>
      <c r="CU151" s="121"/>
      <c r="CV151" s="121"/>
      <c r="CW151" s="121"/>
      <c r="CX151" s="121"/>
      <c r="CY151" s="121"/>
      <c r="CZ151" s="121"/>
      <c r="DA151" s="105"/>
      <c r="DB151" s="122" t="s">
        <v>1005</v>
      </c>
      <c r="DC151" s="122"/>
      <c r="DD151" s="122"/>
      <c r="DE151" s="122"/>
      <c r="DF151" s="122"/>
      <c r="DG151" s="122"/>
      <c r="DH151" s="122"/>
      <c r="DI151" s="122"/>
      <c r="DJ151" s="105"/>
      <c r="DK151" s="120">
        <v>0</v>
      </c>
      <c r="DL151" s="120"/>
      <c r="DM151" s="120"/>
      <c r="DN151" s="120"/>
      <c r="DO151" s="120"/>
      <c r="DP151" s="120"/>
      <c r="DQ151" s="47"/>
      <c r="DR151" s="110"/>
    </row>
    <row r="152" spans="1:122" ht="33.950000000000003" customHeight="1" thickTop="1" thickBot="1">
      <c r="A152" s="52">
        <v>32</v>
      </c>
      <c r="C152" s="109"/>
      <c r="D152" s="46"/>
      <c r="E152" s="118" t="s">
        <v>1040</v>
      </c>
      <c r="F152" s="118"/>
      <c r="G152" s="118"/>
      <c r="H152" s="118"/>
      <c r="I152" s="119" t="s">
        <v>1165</v>
      </c>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03"/>
      <c r="AR152" s="104"/>
      <c r="AS152" s="119" t="s">
        <v>1168</v>
      </c>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05"/>
      <c r="BZ152" s="117" t="s">
        <v>1162</v>
      </c>
      <c r="CA152" s="117"/>
      <c r="CB152" s="117"/>
      <c r="CC152" s="117"/>
      <c r="CD152" s="117"/>
      <c r="CE152" s="117"/>
      <c r="CF152" s="117"/>
      <c r="CG152" s="105"/>
      <c r="CH152" s="120">
        <v>2</v>
      </c>
      <c r="CI152" s="120"/>
      <c r="CJ152" s="120"/>
      <c r="CK152" s="120"/>
      <c r="CL152" s="120"/>
      <c r="CM152" s="120"/>
      <c r="CN152" s="105"/>
      <c r="CO152" s="121" t="s">
        <v>995</v>
      </c>
      <c r="CP152" s="121"/>
      <c r="CQ152" s="121"/>
      <c r="CR152" s="121"/>
      <c r="CS152" s="121"/>
      <c r="CT152" s="121"/>
      <c r="CU152" s="121"/>
      <c r="CV152" s="121"/>
      <c r="CW152" s="121"/>
      <c r="CX152" s="121"/>
      <c r="CY152" s="121"/>
      <c r="CZ152" s="121"/>
      <c r="DA152" s="105"/>
      <c r="DB152" s="122" t="s">
        <v>1005</v>
      </c>
      <c r="DC152" s="122"/>
      <c r="DD152" s="122"/>
      <c r="DE152" s="122"/>
      <c r="DF152" s="122"/>
      <c r="DG152" s="122"/>
      <c r="DH152" s="122"/>
      <c r="DI152" s="122"/>
      <c r="DJ152" s="105"/>
      <c r="DK152" s="120">
        <v>5</v>
      </c>
      <c r="DL152" s="120"/>
      <c r="DM152" s="120"/>
      <c r="DN152" s="120"/>
      <c r="DO152" s="120"/>
      <c r="DP152" s="120"/>
      <c r="DQ152" s="47"/>
      <c r="DR152" s="110"/>
    </row>
    <row r="153" spans="1:122" ht="33.950000000000003" customHeight="1" thickTop="1" thickBot="1">
      <c r="A153" s="52">
        <v>32</v>
      </c>
      <c r="C153" s="109"/>
      <c r="D153" s="46"/>
      <c r="E153" s="118" t="s">
        <v>1041</v>
      </c>
      <c r="F153" s="118"/>
      <c r="G153" s="118"/>
      <c r="H153" s="118"/>
      <c r="I153" s="119" t="s">
        <v>1166</v>
      </c>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03"/>
      <c r="AR153" s="104"/>
      <c r="AS153" s="119" t="s">
        <v>1169</v>
      </c>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05"/>
      <c r="BZ153" s="117" t="s">
        <v>1163</v>
      </c>
      <c r="CA153" s="117"/>
      <c r="CB153" s="117"/>
      <c r="CC153" s="117"/>
      <c r="CD153" s="117"/>
      <c r="CE153" s="117"/>
      <c r="CF153" s="117"/>
      <c r="CG153" s="105"/>
      <c r="CH153" s="120">
        <v>2</v>
      </c>
      <c r="CI153" s="120"/>
      <c r="CJ153" s="120"/>
      <c r="CK153" s="120"/>
      <c r="CL153" s="120"/>
      <c r="CM153" s="120"/>
      <c r="CN153" s="105"/>
      <c r="CO153" s="121" t="s">
        <v>1038</v>
      </c>
      <c r="CP153" s="121"/>
      <c r="CQ153" s="121"/>
      <c r="CR153" s="121"/>
      <c r="CS153" s="121"/>
      <c r="CT153" s="121"/>
      <c r="CU153" s="121"/>
      <c r="CV153" s="121"/>
      <c r="CW153" s="121"/>
      <c r="CX153" s="121"/>
      <c r="CY153" s="121"/>
      <c r="CZ153" s="121"/>
      <c r="DA153" s="105"/>
      <c r="DB153" s="122" t="s">
        <v>1142</v>
      </c>
      <c r="DC153" s="122"/>
      <c r="DD153" s="122"/>
      <c r="DE153" s="122"/>
      <c r="DF153" s="122"/>
      <c r="DG153" s="122"/>
      <c r="DH153" s="122"/>
      <c r="DI153" s="122"/>
      <c r="DJ153" s="105"/>
      <c r="DK153" s="120">
        <v>10</v>
      </c>
      <c r="DL153" s="120"/>
      <c r="DM153" s="120"/>
      <c r="DN153" s="120"/>
      <c r="DO153" s="120"/>
      <c r="DP153" s="120"/>
      <c r="DQ153" s="47"/>
      <c r="DR153" s="110"/>
    </row>
    <row r="154" spans="1:122" ht="33.950000000000003" customHeight="1" thickTop="1" thickBot="1">
      <c r="A154" s="52">
        <v>32</v>
      </c>
      <c r="C154" s="109"/>
      <c r="D154" s="46"/>
      <c r="E154" s="118" t="s">
        <v>1042</v>
      </c>
      <c r="F154" s="118"/>
      <c r="G154" s="118"/>
      <c r="H154" s="118"/>
      <c r="I154" s="119" t="s">
        <v>1170</v>
      </c>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03"/>
      <c r="AR154" s="104"/>
      <c r="AS154" s="119" t="s">
        <v>1171</v>
      </c>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05"/>
      <c r="BZ154" s="117" t="s">
        <v>1163</v>
      </c>
      <c r="CA154" s="117"/>
      <c r="CB154" s="117"/>
      <c r="CC154" s="117"/>
      <c r="CD154" s="117"/>
      <c r="CE154" s="117"/>
      <c r="CF154" s="117"/>
      <c r="CG154" s="105"/>
      <c r="CH154" s="120">
        <v>6</v>
      </c>
      <c r="CI154" s="120"/>
      <c r="CJ154" s="120"/>
      <c r="CK154" s="120"/>
      <c r="CL154" s="120"/>
      <c r="CM154" s="120"/>
      <c r="CN154" s="105"/>
      <c r="CO154" s="121" t="s">
        <v>995</v>
      </c>
      <c r="CP154" s="121"/>
      <c r="CQ154" s="121"/>
      <c r="CR154" s="121"/>
      <c r="CS154" s="121"/>
      <c r="CT154" s="121"/>
      <c r="CU154" s="121"/>
      <c r="CV154" s="121"/>
      <c r="CW154" s="121"/>
      <c r="CX154" s="121"/>
      <c r="CY154" s="121"/>
      <c r="CZ154" s="121"/>
      <c r="DA154" s="105"/>
      <c r="DB154" s="122" t="s">
        <v>969</v>
      </c>
      <c r="DC154" s="122"/>
      <c r="DD154" s="122"/>
      <c r="DE154" s="122"/>
      <c r="DF154" s="122"/>
      <c r="DG154" s="122"/>
      <c r="DH154" s="122"/>
      <c r="DI154" s="122"/>
      <c r="DJ154" s="105"/>
      <c r="DK154" s="120">
        <v>0</v>
      </c>
      <c r="DL154" s="120"/>
      <c r="DM154" s="120"/>
      <c r="DN154" s="120"/>
      <c r="DO154" s="120"/>
      <c r="DP154" s="120"/>
      <c r="DQ154" s="47"/>
      <c r="DR154" s="110"/>
    </row>
    <row r="155" spans="1:122" ht="33.950000000000003" customHeight="1" thickTop="1" thickBot="1">
      <c r="A155" s="52">
        <v>32</v>
      </c>
      <c r="C155" s="109"/>
      <c r="D155" s="46"/>
      <c r="E155" s="118" t="s">
        <v>1043</v>
      </c>
      <c r="F155" s="118"/>
      <c r="G155" s="118"/>
      <c r="H155" s="118"/>
      <c r="I155" s="119" t="s">
        <v>1172</v>
      </c>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03"/>
      <c r="AR155" s="104"/>
      <c r="AS155" s="119" t="s">
        <v>1178</v>
      </c>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05"/>
      <c r="BZ155" s="117" t="s">
        <v>1163</v>
      </c>
      <c r="CA155" s="117"/>
      <c r="CB155" s="117"/>
      <c r="CC155" s="117"/>
      <c r="CD155" s="117"/>
      <c r="CE155" s="117"/>
      <c r="CF155" s="117"/>
      <c r="CG155" s="105"/>
      <c r="CH155" s="120">
        <v>2</v>
      </c>
      <c r="CI155" s="120"/>
      <c r="CJ155" s="120"/>
      <c r="CK155" s="120"/>
      <c r="CL155" s="120"/>
      <c r="CM155" s="120"/>
      <c r="CN155" s="105"/>
      <c r="CO155" s="121" t="s">
        <v>995</v>
      </c>
      <c r="CP155" s="121"/>
      <c r="CQ155" s="121"/>
      <c r="CR155" s="121"/>
      <c r="CS155" s="121"/>
      <c r="CT155" s="121"/>
      <c r="CU155" s="121"/>
      <c r="CV155" s="121"/>
      <c r="CW155" s="121"/>
      <c r="CX155" s="121"/>
      <c r="CY155" s="121"/>
      <c r="CZ155" s="121"/>
      <c r="DA155" s="105"/>
      <c r="DB155" s="122" t="s">
        <v>1010</v>
      </c>
      <c r="DC155" s="122"/>
      <c r="DD155" s="122"/>
      <c r="DE155" s="122"/>
      <c r="DF155" s="122"/>
      <c r="DG155" s="122"/>
      <c r="DH155" s="122"/>
      <c r="DI155" s="122"/>
      <c r="DJ155" s="105"/>
      <c r="DK155" s="120">
        <v>0</v>
      </c>
      <c r="DL155" s="120"/>
      <c r="DM155" s="120"/>
      <c r="DN155" s="120"/>
      <c r="DO155" s="120"/>
      <c r="DP155" s="120"/>
      <c r="DQ155" s="47"/>
      <c r="DR155" s="110"/>
    </row>
    <row r="156" spans="1:122" ht="33.950000000000003" customHeight="1" thickTop="1" thickBot="1">
      <c r="A156" s="52">
        <v>32</v>
      </c>
      <c r="C156" s="109"/>
      <c r="D156" s="46"/>
      <c r="E156" s="118" t="s">
        <v>1044</v>
      </c>
      <c r="F156" s="118"/>
      <c r="G156" s="118"/>
      <c r="H156" s="118"/>
      <c r="I156" s="119" t="s">
        <v>1173</v>
      </c>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03"/>
      <c r="AR156" s="104"/>
      <c r="AS156" s="119" t="s">
        <v>1177</v>
      </c>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05"/>
      <c r="BZ156" s="117" t="s">
        <v>1163</v>
      </c>
      <c r="CA156" s="117"/>
      <c r="CB156" s="117"/>
      <c r="CC156" s="117"/>
      <c r="CD156" s="117"/>
      <c r="CE156" s="117"/>
      <c r="CF156" s="117"/>
      <c r="CG156" s="105"/>
      <c r="CH156" s="120">
        <v>2</v>
      </c>
      <c r="CI156" s="120"/>
      <c r="CJ156" s="120"/>
      <c r="CK156" s="120"/>
      <c r="CL156" s="120"/>
      <c r="CM156" s="120"/>
      <c r="CN156" s="105"/>
      <c r="CO156" s="121" t="s">
        <v>995</v>
      </c>
      <c r="CP156" s="121"/>
      <c r="CQ156" s="121"/>
      <c r="CR156" s="121"/>
      <c r="CS156" s="121"/>
      <c r="CT156" s="121"/>
      <c r="CU156" s="121"/>
      <c r="CV156" s="121"/>
      <c r="CW156" s="121"/>
      <c r="CX156" s="121"/>
      <c r="CY156" s="121"/>
      <c r="CZ156" s="121"/>
      <c r="DA156" s="105"/>
      <c r="DB156" s="122" t="s">
        <v>1005</v>
      </c>
      <c r="DC156" s="122"/>
      <c r="DD156" s="122"/>
      <c r="DE156" s="122"/>
      <c r="DF156" s="122"/>
      <c r="DG156" s="122"/>
      <c r="DH156" s="122"/>
      <c r="DI156" s="122"/>
      <c r="DJ156" s="105"/>
      <c r="DK156" s="120">
        <v>5</v>
      </c>
      <c r="DL156" s="120"/>
      <c r="DM156" s="120"/>
      <c r="DN156" s="120"/>
      <c r="DO156" s="120"/>
      <c r="DP156" s="120"/>
      <c r="DQ156" s="47"/>
      <c r="DR156" s="110"/>
    </row>
    <row r="157" spans="1:122" ht="33.950000000000003" customHeight="1" thickTop="1" thickBot="1">
      <c r="A157" s="52">
        <v>32</v>
      </c>
      <c r="C157" s="109"/>
      <c r="D157" s="46"/>
      <c r="E157" s="118" t="s">
        <v>1045</v>
      </c>
      <c r="F157" s="118"/>
      <c r="G157" s="118"/>
      <c r="H157" s="118"/>
      <c r="I157" s="119" t="s">
        <v>1174</v>
      </c>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03"/>
      <c r="AR157" s="104"/>
      <c r="AS157" s="119" t="s">
        <v>1176</v>
      </c>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05"/>
      <c r="BZ157" s="117" t="s">
        <v>1163</v>
      </c>
      <c r="CA157" s="117"/>
      <c r="CB157" s="117"/>
      <c r="CC157" s="117"/>
      <c r="CD157" s="117"/>
      <c r="CE157" s="117"/>
      <c r="CF157" s="117"/>
      <c r="CG157" s="105"/>
      <c r="CH157" s="120">
        <v>2</v>
      </c>
      <c r="CI157" s="120"/>
      <c r="CJ157" s="120"/>
      <c r="CK157" s="120"/>
      <c r="CL157" s="120"/>
      <c r="CM157" s="120"/>
      <c r="CN157" s="105"/>
      <c r="CO157" s="121" t="s">
        <v>995</v>
      </c>
      <c r="CP157" s="121"/>
      <c r="CQ157" s="121"/>
      <c r="CR157" s="121"/>
      <c r="CS157" s="121"/>
      <c r="CT157" s="121"/>
      <c r="CU157" s="121"/>
      <c r="CV157" s="121"/>
      <c r="CW157" s="121"/>
      <c r="CX157" s="121"/>
      <c r="CY157" s="121"/>
      <c r="CZ157" s="121"/>
      <c r="DA157" s="105"/>
      <c r="DB157" s="122" t="s">
        <v>969</v>
      </c>
      <c r="DC157" s="122"/>
      <c r="DD157" s="122"/>
      <c r="DE157" s="122"/>
      <c r="DF157" s="122"/>
      <c r="DG157" s="122"/>
      <c r="DH157" s="122"/>
      <c r="DI157" s="122"/>
      <c r="DJ157" s="105"/>
      <c r="DK157" s="120">
        <v>0</v>
      </c>
      <c r="DL157" s="120"/>
      <c r="DM157" s="120"/>
      <c r="DN157" s="120"/>
      <c r="DO157" s="120"/>
      <c r="DP157" s="120"/>
      <c r="DQ157" s="47"/>
      <c r="DR157" s="110"/>
    </row>
    <row r="158" spans="1:122" ht="33.950000000000003" customHeight="1" thickTop="1" thickBot="1">
      <c r="A158" s="52">
        <v>32</v>
      </c>
      <c r="C158" s="109"/>
      <c r="D158" s="46"/>
      <c r="E158" s="118" t="s">
        <v>1046</v>
      </c>
      <c r="F158" s="118"/>
      <c r="G158" s="118"/>
      <c r="H158" s="118"/>
      <c r="I158" s="119" t="s">
        <v>1175</v>
      </c>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03"/>
      <c r="AR158" s="104"/>
      <c r="AS158" s="119" t="s">
        <v>1179</v>
      </c>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05"/>
      <c r="BZ158" s="117" t="s">
        <v>1163</v>
      </c>
      <c r="CA158" s="117"/>
      <c r="CB158" s="117"/>
      <c r="CC158" s="117"/>
      <c r="CD158" s="117"/>
      <c r="CE158" s="117"/>
      <c r="CF158" s="117"/>
      <c r="CG158" s="105"/>
      <c r="CH158" s="120">
        <v>3</v>
      </c>
      <c r="CI158" s="120"/>
      <c r="CJ158" s="120"/>
      <c r="CK158" s="120"/>
      <c r="CL158" s="120"/>
      <c r="CM158" s="120"/>
      <c r="CN158" s="105"/>
      <c r="CO158" s="121" t="s">
        <v>1038</v>
      </c>
      <c r="CP158" s="121"/>
      <c r="CQ158" s="121"/>
      <c r="CR158" s="121"/>
      <c r="CS158" s="121"/>
      <c r="CT158" s="121"/>
      <c r="CU158" s="121"/>
      <c r="CV158" s="121"/>
      <c r="CW158" s="121"/>
      <c r="CX158" s="121"/>
      <c r="CY158" s="121"/>
      <c r="CZ158" s="121"/>
      <c r="DA158" s="105"/>
      <c r="DB158" s="122" t="s">
        <v>1142</v>
      </c>
      <c r="DC158" s="122"/>
      <c r="DD158" s="122"/>
      <c r="DE158" s="122"/>
      <c r="DF158" s="122"/>
      <c r="DG158" s="122"/>
      <c r="DH158" s="122"/>
      <c r="DI158" s="122"/>
      <c r="DJ158" s="105"/>
      <c r="DK158" s="120">
        <v>0</v>
      </c>
      <c r="DL158" s="120"/>
      <c r="DM158" s="120"/>
      <c r="DN158" s="120"/>
      <c r="DO158" s="120"/>
      <c r="DP158" s="120"/>
      <c r="DQ158" s="47"/>
      <c r="DR158" s="110"/>
    </row>
    <row r="159" spans="1:122" ht="33.950000000000003" customHeight="1" thickTop="1" thickBot="1">
      <c r="A159" s="52">
        <v>32</v>
      </c>
      <c r="C159" s="109"/>
      <c r="D159" s="46"/>
      <c r="E159" s="118" t="s">
        <v>1047</v>
      </c>
      <c r="F159" s="118"/>
      <c r="G159" s="118"/>
      <c r="H159" s="118"/>
      <c r="I159" s="119" t="s">
        <v>1033</v>
      </c>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03"/>
      <c r="AR159" s="104"/>
      <c r="AS159" s="119" t="s">
        <v>1033</v>
      </c>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05"/>
      <c r="BZ159" s="117" t="s">
        <v>1163</v>
      </c>
      <c r="CA159" s="117"/>
      <c r="CB159" s="117"/>
      <c r="CC159" s="117"/>
      <c r="CD159" s="117"/>
      <c r="CE159" s="117"/>
      <c r="CF159" s="117"/>
      <c r="CG159" s="105"/>
      <c r="CH159" s="120">
        <v>0</v>
      </c>
      <c r="CI159" s="120"/>
      <c r="CJ159" s="120"/>
      <c r="CK159" s="120"/>
      <c r="CL159" s="120"/>
      <c r="CM159" s="120"/>
      <c r="CN159" s="105"/>
      <c r="CO159" s="121" t="s">
        <v>995</v>
      </c>
      <c r="CP159" s="121"/>
      <c r="CQ159" s="121"/>
      <c r="CR159" s="121"/>
      <c r="CS159" s="121"/>
      <c r="CT159" s="121"/>
      <c r="CU159" s="121"/>
      <c r="CV159" s="121"/>
      <c r="CW159" s="121"/>
      <c r="CX159" s="121"/>
      <c r="CY159" s="121"/>
      <c r="CZ159" s="121"/>
      <c r="DA159" s="105"/>
      <c r="DB159" s="122" t="s">
        <v>1033</v>
      </c>
      <c r="DC159" s="122"/>
      <c r="DD159" s="122"/>
      <c r="DE159" s="122"/>
      <c r="DF159" s="122"/>
      <c r="DG159" s="122"/>
      <c r="DH159" s="122"/>
      <c r="DI159" s="122"/>
      <c r="DJ159" s="105"/>
      <c r="DK159" s="120">
        <v>20</v>
      </c>
      <c r="DL159" s="120"/>
      <c r="DM159" s="120"/>
      <c r="DN159" s="120"/>
      <c r="DO159" s="120"/>
      <c r="DP159" s="120"/>
      <c r="DQ159" s="47"/>
      <c r="DR159" s="110"/>
    </row>
    <row r="160" spans="1:122" ht="33.950000000000003" customHeight="1" thickTop="1" thickBot="1">
      <c r="A160" s="52">
        <v>32</v>
      </c>
      <c r="C160" s="109"/>
      <c r="D160" s="46"/>
      <c r="E160" s="118" t="s">
        <v>1048</v>
      </c>
      <c r="F160" s="118"/>
      <c r="G160" s="118"/>
      <c r="H160" s="118"/>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03"/>
      <c r="AR160" s="104"/>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05"/>
      <c r="BZ160" s="117"/>
      <c r="CA160" s="117"/>
      <c r="CB160" s="117"/>
      <c r="CC160" s="117"/>
      <c r="CD160" s="117"/>
      <c r="CE160" s="117"/>
      <c r="CF160" s="117"/>
      <c r="CG160" s="105"/>
      <c r="CH160" s="120"/>
      <c r="CI160" s="120"/>
      <c r="CJ160" s="120"/>
      <c r="CK160" s="120"/>
      <c r="CL160" s="120"/>
      <c r="CM160" s="120"/>
      <c r="CN160" s="105"/>
      <c r="CO160" s="121"/>
      <c r="CP160" s="121"/>
      <c r="CQ160" s="121"/>
      <c r="CR160" s="121"/>
      <c r="CS160" s="121"/>
      <c r="CT160" s="121"/>
      <c r="CU160" s="121"/>
      <c r="CV160" s="121"/>
      <c r="CW160" s="121"/>
      <c r="CX160" s="121"/>
      <c r="CY160" s="121"/>
      <c r="CZ160" s="121"/>
      <c r="DA160" s="105"/>
      <c r="DB160" s="122"/>
      <c r="DC160" s="122"/>
      <c r="DD160" s="122"/>
      <c r="DE160" s="122"/>
      <c r="DF160" s="122"/>
      <c r="DG160" s="122"/>
      <c r="DH160" s="122"/>
      <c r="DI160" s="122"/>
      <c r="DJ160" s="105"/>
      <c r="DK160" s="120"/>
      <c r="DL160" s="120"/>
      <c r="DM160" s="120"/>
      <c r="DN160" s="120"/>
      <c r="DO160" s="120"/>
      <c r="DP160" s="120"/>
      <c r="DQ160" s="47"/>
      <c r="DR160" s="110"/>
    </row>
    <row r="161" spans="1:122" ht="33.950000000000003" customHeight="1" thickTop="1" thickBot="1">
      <c r="A161" s="52">
        <v>32</v>
      </c>
      <c r="C161" s="109"/>
      <c r="D161" s="46"/>
      <c r="E161" s="118" t="s">
        <v>1049</v>
      </c>
      <c r="F161" s="118"/>
      <c r="G161" s="118"/>
      <c r="H161" s="118"/>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03"/>
      <c r="AR161" s="104"/>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05"/>
      <c r="BZ161" s="117"/>
      <c r="CA161" s="117"/>
      <c r="CB161" s="117"/>
      <c r="CC161" s="117"/>
      <c r="CD161" s="117"/>
      <c r="CE161" s="117"/>
      <c r="CF161" s="117"/>
      <c r="CG161" s="105"/>
      <c r="CH161" s="120"/>
      <c r="CI161" s="120"/>
      <c r="CJ161" s="120"/>
      <c r="CK161" s="120"/>
      <c r="CL161" s="120"/>
      <c r="CM161" s="120"/>
      <c r="CN161" s="105"/>
      <c r="CO161" s="121"/>
      <c r="CP161" s="121"/>
      <c r="CQ161" s="121"/>
      <c r="CR161" s="121"/>
      <c r="CS161" s="121"/>
      <c r="CT161" s="121"/>
      <c r="CU161" s="121"/>
      <c r="CV161" s="121"/>
      <c r="CW161" s="121"/>
      <c r="CX161" s="121"/>
      <c r="CY161" s="121"/>
      <c r="CZ161" s="121"/>
      <c r="DA161" s="105"/>
      <c r="DB161" s="122"/>
      <c r="DC161" s="122"/>
      <c r="DD161" s="122"/>
      <c r="DE161" s="122"/>
      <c r="DF161" s="122"/>
      <c r="DG161" s="122"/>
      <c r="DH161" s="122"/>
      <c r="DI161" s="122"/>
      <c r="DJ161" s="105"/>
      <c r="DK161" s="120"/>
      <c r="DL161" s="120"/>
      <c r="DM161" s="120"/>
      <c r="DN161" s="120"/>
      <c r="DO161" s="120"/>
      <c r="DP161" s="120"/>
      <c r="DQ161" s="47"/>
      <c r="DR161" s="110"/>
    </row>
    <row r="162" spans="1:122" ht="33.950000000000003" customHeight="1" thickTop="1" thickBot="1">
      <c r="A162" s="52">
        <v>32</v>
      </c>
      <c r="C162" s="109"/>
      <c r="D162" s="46"/>
      <c r="E162" s="118" t="s">
        <v>1050</v>
      </c>
      <c r="F162" s="118"/>
      <c r="G162" s="118"/>
      <c r="H162" s="118"/>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03"/>
      <c r="AR162" s="104"/>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05"/>
      <c r="BZ162" s="117"/>
      <c r="CA162" s="117"/>
      <c r="CB162" s="117"/>
      <c r="CC162" s="117"/>
      <c r="CD162" s="117"/>
      <c r="CE162" s="117"/>
      <c r="CF162" s="117"/>
      <c r="CG162" s="105"/>
      <c r="CH162" s="120"/>
      <c r="CI162" s="120"/>
      <c r="CJ162" s="120"/>
      <c r="CK162" s="120"/>
      <c r="CL162" s="120"/>
      <c r="CM162" s="120"/>
      <c r="CN162" s="105"/>
      <c r="CO162" s="121"/>
      <c r="CP162" s="121"/>
      <c r="CQ162" s="121"/>
      <c r="CR162" s="121"/>
      <c r="CS162" s="121"/>
      <c r="CT162" s="121"/>
      <c r="CU162" s="121"/>
      <c r="CV162" s="121"/>
      <c r="CW162" s="121"/>
      <c r="CX162" s="121"/>
      <c r="CY162" s="121"/>
      <c r="CZ162" s="121"/>
      <c r="DA162" s="105"/>
      <c r="DB162" s="122"/>
      <c r="DC162" s="122"/>
      <c r="DD162" s="122"/>
      <c r="DE162" s="122"/>
      <c r="DF162" s="122"/>
      <c r="DG162" s="122"/>
      <c r="DH162" s="122"/>
      <c r="DI162" s="122"/>
      <c r="DJ162" s="105"/>
      <c r="DK162" s="120"/>
      <c r="DL162" s="120"/>
      <c r="DM162" s="120"/>
      <c r="DN162" s="120"/>
      <c r="DO162" s="120"/>
      <c r="DP162" s="120"/>
      <c r="DQ162" s="47"/>
      <c r="DR162" s="110"/>
    </row>
    <row r="163" spans="1:122" ht="33.950000000000003" customHeight="1" thickTop="1" thickBot="1">
      <c r="A163" s="52">
        <v>32</v>
      </c>
      <c r="C163" s="109"/>
      <c r="D163" s="46"/>
      <c r="E163" s="118" t="s">
        <v>1051</v>
      </c>
      <c r="F163" s="118"/>
      <c r="G163" s="118"/>
      <c r="H163" s="118"/>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03"/>
      <c r="AR163" s="104"/>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05"/>
      <c r="BZ163" s="117"/>
      <c r="CA163" s="117"/>
      <c r="CB163" s="117"/>
      <c r="CC163" s="117"/>
      <c r="CD163" s="117"/>
      <c r="CE163" s="117"/>
      <c r="CF163" s="117"/>
      <c r="CG163" s="105"/>
      <c r="CH163" s="120"/>
      <c r="CI163" s="120"/>
      <c r="CJ163" s="120"/>
      <c r="CK163" s="120"/>
      <c r="CL163" s="120"/>
      <c r="CM163" s="120"/>
      <c r="CN163" s="105"/>
      <c r="CO163" s="121"/>
      <c r="CP163" s="121"/>
      <c r="CQ163" s="121"/>
      <c r="CR163" s="121"/>
      <c r="CS163" s="121"/>
      <c r="CT163" s="121"/>
      <c r="CU163" s="121"/>
      <c r="CV163" s="121"/>
      <c r="CW163" s="121"/>
      <c r="CX163" s="121"/>
      <c r="CY163" s="121"/>
      <c r="CZ163" s="121"/>
      <c r="DA163" s="105"/>
      <c r="DB163" s="122"/>
      <c r="DC163" s="122"/>
      <c r="DD163" s="122"/>
      <c r="DE163" s="122"/>
      <c r="DF163" s="122"/>
      <c r="DG163" s="122"/>
      <c r="DH163" s="122"/>
      <c r="DI163" s="122"/>
      <c r="DJ163" s="105"/>
      <c r="DK163" s="120"/>
      <c r="DL163" s="120"/>
      <c r="DM163" s="120"/>
      <c r="DN163" s="120"/>
      <c r="DO163" s="120"/>
      <c r="DP163" s="120"/>
      <c r="DQ163" s="47"/>
      <c r="DR163" s="110"/>
    </row>
    <row r="164" spans="1:122" ht="33.950000000000003" customHeight="1" thickTop="1" thickBot="1">
      <c r="A164" s="52">
        <v>32</v>
      </c>
      <c r="C164" s="109"/>
      <c r="D164" s="46"/>
      <c r="E164" s="118" t="s">
        <v>1052</v>
      </c>
      <c r="F164" s="118"/>
      <c r="G164" s="118"/>
      <c r="H164" s="118"/>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03"/>
      <c r="AR164" s="104"/>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05"/>
      <c r="BZ164" s="117"/>
      <c r="CA164" s="117"/>
      <c r="CB164" s="117"/>
      <c r="CC164" s="117"/>
      <c r="CD164" s="117"/>
      <c r="CE164" s="117"/>
      <c r="CF164" s="117"/>
      <c r="CG164" s="105"/>
      <c r="CH164" s="120"/>
      <c r="CI164" s="120"/>
      <c r="CJ164" s="120"/>
      <c r="CK164" s="120"/>
      <c r="CL164" s="120"/>
      <c r="CM164" s="120"/>
      <c r="CN164" s="105"/>
      <c r="CO164" s="121"/>
      <c r="CP164" s="121"/>
      <c r="CQ164" s="121"/>
      <c r="CR164" s="121"/>
      <c r="CS164" s="121"/>
      <c r="CT164" s="121"/>
      <c r="CU164" s="121"/>
      <c r="CV164" s="121"/>
      <c r="CW164" s="121"/>
      <c r="CX164" s="121"/>
      <c r="CY164" s="121"/>
      <c r="CZ164" s="121"/>
      <c r="DA164" s="105"/>
      <c r="DB164" s="122"/>
      <c r="DC164" s="122"/>
      <c r="DD164" s="122"/>
      <c r="DE164" s="122"/>
      <c r="DF164" s="122"/>
      <c r="DG164" s="122"/>
      <c r="DH164" s="122"/>
      <c r="DI164" s="122"/>
      <c r="DJ164" s="105"/>
      <c r="DK164" s="120"/>
      <c r="DL164" s="120"/>
      <c r="DM164" s="120"/>
      <c r="DN164" s="120"/>
      <c r="DO164" s="120"/>
      <c r="DP164" s="120"/>
      <c r="DQ164" s="47"/>
      <c r="DR164" s="110"/>
    </row>
    <row r="165" spans="1:122" ht="33.950000000000003" customHeight="1" thickTop="1" thickBot="1">
      <c r="A165" s="52">
        <v>32</v>
      </c>
      <c r="C165" s="109"/>
      <c r="D165" s="46"/>
      <c r="E165" s="118" t="s">
        <v>1053</v>
      </c>
      <c r="F165" s="118"/>
      <c r="G165" s="118"/>
      <c r="H165" s="118"/>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03"/>
      <c r="AR165" s="104"/>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05"/>
      <c r="BZ165" s="117"/>
      <c r="CA165" s="117"/>
      <c r="CB165" s="117"/>
      <c r="CC165" s="117"/>
      <c r="CD165" s="117"/>
      <c r="CE165" s="117"/>
      <c r="CF165" s="117"/>
      <c r="CG165" s="105"/>
      <c r="CH165" s="120"/>
      <c r="CI165" s="120"/>
      <c r="CJ165" s="120"/>
      <c r="CK165" s="120"/>
      <c r="CL165" s="120"/>
      <c r="CM165" s="120"/>
      <c r="CN165" s="105"/>
      <c r="CO165" s="121"/>
      <c r="CP165" s="121"/>
      <c r="CQ165" s="121"/>
      <c r="CR165" s="121"/>
      <c r="CS165" s="121"/>
      <c r="CT165" s="121"/>
      <c r="CU165" s="121"/>
      <c r="CV165" s="121"/>
      <c r="CW165" s="121"/>
      <c r="CX165" s="121"/>
      <c r="CY165" s="121"/>
      <c r="CZ165" s="121"/>
      <c r="DA165" s="105"/>
      <c r="DB165" s="122"/>
      <c r="DC165" s="122"/>
      <c r="DD165" s="122"/>
      <c r="DE165" s="122"/>
      <c r="DF165" s="122"/>
      <c r="DG165" s="122"/>
      <c r="DH165" s="122"/>
      <c r="DI165" s="122"/>
      <c r="DJ165" s="105"/>
      <c r="DK165" s="120"/>
      <c r="DL165" s="120"/>
      <c r="DM165" s="120"/>
      <c r="DN165" s="120"/>
      <c r="DO165" s="120"/>
      <c r="DP165" s="120"/>
      <c r="DQ165" s="47"/>
      <c r="DR165" s="110"/>
    </row>
    <row r="166" spans="1:122" ht="33.950000000000003" customHeight="1" thickTop="1" thickBot="1">
      <c r="A166" s="52">
        <v>32</v>
      </c>
      <c r="C166" s="109"/>
      <c r="D166" s="46"/>
      <c r="E166" s="118" t="s">
        <v>1054</v>
      </c>
      <c r="F166" s="118"/>
      <c r="G166" s="118"/>
      <c r="H166" s="118"/>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03"/>
      <c r="AR166" s="104"/>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05"/>
      <c r="BZ166" s="117"/>
      <c r="CA166" s="117"/>
      <c r="CB166" s="117"/>
      <c r="CC166" s="117"/>
      <c r="CD166" s="117"/>
      <c r="CE166" s="117"/>
      <c r="CF166" s="117"/>
      <c r="CG166" s="105"/>
      <c r="CH166" s="120"/>
      <c r="CI166" s="120"/>
      <c r="CJ166" s="120"/>
      <c r="CK166" s="120"/>
      <c r="CL166" s="120"/>
      <c r="CM166" s="120"/>
      <c r="CN166" s="105"/>
      <c r="CO166" s="121"/>
      <c r="CP166" s="121"/>
      <c r="CQ166" s="121"/>
      <c r="CR166" s="121"/>
      <c r="CS166" s="121"/>
      <c r="CT166" s="121"/>
      <c r="CU166" s="121"/>
      <c r="CV166" s="121"/>
      <c r="CW166" s="121"/>
      <c r="CX166" s="121"/>
      <c r="CY166" s="121"/>
      <c r="CZ166" s="121"/>
      <c r="DA166" s="105"/>
      <c r="DB166" s="122"/>
      <c r="DC166" s="122"/>
      <c r="DD166" s="122"/>
      <c r="DE166" s="122"/>
      <c r="DF166" s="122"/>
      <c r="DG166" s="122"/>
      <c r="DH166" s="122"/>
      <c r="DI166" s="122"/>
      <c r="DJ166" s="105"/>
      <c r="DK166" s="120"/>
      <c r="DL166" s="120"/>
      <c r="DM166" s="120"/>
      <c r="DN166" s="120"/>
      <c r="DO166" s="120"/>
      <c r="DP166" s="120"/>
      <c r="DQ166" s="47"/>
      <c r="DR166" s="110"/>
    </row>
    <row r="167" spans="1:122" ht="33.950000000000003" customHeight="1" thickTop="1" thickBot="1">
      <c r="A167" s="52">
        <v>32</v>
      </c>
      <c r="C167" s="109"/>
      <c r="D167" s="46"/>
      <c r="E167" s="118" t="s">
        <v>1055</v>
      </c>
      <c r="F167" s="118"/>
      <c r="G167" s="118"/>
      <c r="H167" s="118"/>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03"/>
      <c r="AR167" s="104"/>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05"/>
      <c r="BZ167" s="117"/>
      <c r="CA167" s="117"/>
      <c r="CB167" s="117"/>
      <c r="CC167" s="117"/>
      <c r="CD167" s="117"/>
      <c r="CE167" s="117"/>
      <c r="CF167" s="117"/>
      <c r="CG167" s="105"/>
      <c r="CH167" s="120"/>
      <c r="CI167" s="120"/>
      <c r="CJ167" s="120"/>
      <c r="CK167" s="120"/>
      <c r="CL167" s="120"/>
      <c r="CM167" s="120"/>
      <c r="CN167" s="105"/>
      <c r="CO167" s="121"/>
      <c r="CP167" s="121"/>
      <c r="CQ167" s="121"/>
      <c r="CR167" s="121"/>
      <c r="CS167" s="121"/>
      <c r="CT167" s="121"/>
      <c r="CU167" s="121"/>
      <c r="CV167" s="121"/>
      <c r="CW167" s="121"/>
      <c r="CX167" s="121"/>
      <c r="CY167" s="121"/>
      <c r="CZ167" s="121"/>
      <c r="DA167" s="105"/>
      <c r="DB167" s="122"/>
      <c r="DC167" s="122"/>
      <c r="DD167" s="122"/>
      <c r="DE167" s="122"/>
      <c r="DF167" s="122"/>
      <c r="DG167" s="122"/>
      <c r="DH167" s="122"/>
      <c r="DI167" s="122"/>
      <c r="DJ167" s="105"/>
      <c r="DK167" s="120"/>
      <c r="DL167" s="120"/>
      <c r="DM167" s="120"/>
      <c r="DN167" s="120"/>
      <c r="DO167" s="120"/>
      <c r="DP167" s="120"/>
      <c r="DQ167" s="47"/>
      <c r="DR167" s="110"/>
    </row>
    <row r="168" spans="1:122" ht="33.950000000000003" customHeight="1" thickTop="1" thickBot="1">
      <c r="A168" s="52">
        <v>32</v>
      </c>
      <c r="C168" s="109"/>
      <c r="D168" s="46"/>
      <c r="E168" s="118" t="s">
        <v>1056</v>
      </c>
      <c r="F168" s="118"/>
      <c r="G168" s="118"/>
      <c r="H168" s="118"/>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03"/>
      <c r="AR168" s="104"/>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05"/>
      <c r="BZ168" s="117"/>
      <c r="CA168" s="117"/>
      <c r="CB168" s="117"/>
      <c r="CC168" s="117"/>
      <c r="CD168" s="117"/>
      <c r="CE168" s="117"/>
      <c r="CF168" s="117"/>
      <c r="CG168" s="105"/>
      <c r="CH168" s="120"/>
      <c r="CI168" s="120"/>
      <c r="CJ168" s="120"/>
      <c r="CK168" s="120"/>
      <c r="CL168" s="120"/>
      <c r="CM168" s="120"/>
      <c r="CN168" s="105"/>
      <c r="CO168" s="121"/>
      <c r="CP168" s="121"/>
      <c r="CQ168" s="121"/>
      <c r="CR168" s="121"/>
      <c r="CS168" s="121"/>
      <c r="CT168" s="121"/>
      <c r="CU168" s="121"/>
      <c r="CV168" s="121"/>
      <c r="CW168" s="121"/>
      <c r="CX168" s="121"/>
      <c r="CY168" s="121"/>
      <c r="CZ168" s="121"/>
      <c r="DA168" s="105"/>
      <c r="DB168" s="122"/>
      <c r="DC168" s="122"/>
      <c r="DD168" s="122"/>
      <c r="DE168" s="122"/>
      <c r="DF168" s="122"/>
      <c r="DG168" s="122"/>
      <c r="DH168" s="122"/>
      <c r="DI168" s="122"/>
      <c r="DJ168" s="105"/>
      <c r="DK168" s="120"/>
      <c r="DL168" s="120"/>
      <c r="DM168" s="120"/>
      <c r="DN168" s="120"/>
      <c r="DO168" s="120"/>
      <c r="DP168" s="120"/>
      <c r="DQ168" s="47"/>
      <c r="DR168" s="110"/>
    </row>
    <row r="169" spans="1:122" ht="33.950000000000003" customHeight="1" thickTop="1" thickBot="1">
      <c r="A169" s="52">
        <v>32</v>
      </c>
      <c r="C169" s="109"/>
      <c r="D169" s="46"/>
      <c r="E169" s="118" t="s">
        <v>1057</v>
      </c>
      <c r="F169" s="118"/>
      <c r="G169" s="118"/>
      <c r="H169" s="118"/>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03"/>
      <c r="AR169" s="104"/>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05"/>
      <c r="BZ169" s="117"/>
      <c r="CA169" s="117"/>
      <c r="CB169" s="117"/>
      <c r="CC169" s="117"/>
      <c r="CD169" s="117"/>
      <c r="CE169" s="117"/>
      <c r="CF169" s="117"/>
      <c r="CG169" s="105"/>
      <c r="CH169" s="120"/>
      <c r="CI169" s="120"/>
      <c r="CJ169" s="120"/>
      <c r="CK169" s="120"/>
      <c r="CL169" s="120"/>
      <c r="CM169" s="120"/>
      <c r="CN169" s="105"/>
      <c r="CO169" s="121"/>
      <c r="CP169" s="121"/>
      <c r="CQ169" s="121"/>
      <c r="CR169" s="121"/>
      <c r="CS169" s="121"/>
      <c r="CT169" s="121"/>
      <c r="CU169" s="121"/>
      <c r="CV169" s="121"/>
      <c r="CW169" s="121"/>
      <c r="CX169" s="121"/>
      <c r="CY169" s="121"/>
      <c r="CZ169" s="121"/>
      <c r="DA169" s="105"/>
      <c r="DB169" s="122"/>
      <c r="DC169" s="122"/>
      <c r="DD169" s="122"/>
      <c r="DE169" s="122"/>
      <c r="DF169" s="122"/>
      <c r="DG169" s="122"/>
      <c r="DH169" s="122"/>
      <c r="DI169" s="122"/>
      <c r="DJ169" s="105"/>
      <c r="DK169" s="120"/>
      <c r="DL169" s="120"/>
      <c r="DM169" s="120"/>
      <c r="DN169" s="120"/>
      <c r="DO169" s="120"/>
      <c r="DP169" s="120"/>
      <c r="DQ169" s="47"/>
      <c r="DR169" s="110"/>
    </row>
    <row r="170" spans="1:122" ht="33.950000000000003" customHeight="1" thickTop="1" thickBot="1">
      <c r="A170" s="52">
        <v>32</v>
      </c>
      <c r="C170" s="109"/>
      <c r="D170" s="46"/>
      <c r="E170" s="118" t="s">
        <v>1058</v>
      </c>
      <c r="F170" s="118"/>
      <c r="G170" s="118"/>
      <c r="H170" s="118"/>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03"/>
      <c r="AR170" s="104"/>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05"/>
      <c r="BZ170" s="117"/>
      <c r="CA170" s="117"/>
      <c r="CB170" s="117"/>
      <c r="CC170" s="117"/>
      <c r="CD170" s="117"/>
      <c r="CE170" s="117"/>
      <c r="CF170" s="117"/>
      <c r="CG170" s="105"/>
      <c r="CH170" s="120"/>
      <c r="CI170" s="120"/>
      <c r="CJ170" s="120"/>
      <c r="CK170" s="120"/>
      <c r="CL170" s="120"/>
      <c r="CM170" s="120"/>
      <c r="CN170" s="105"/>
      <c r="CO170" s="121"/>
      <c r="CP170" s="121"/>
      <c r="CQ170" s="121"/>
      <c r="CR170" s="121"/>
      <c r="CS170" s="121"/>
      <c r="CT170" s="121"/>
      <c r="CU170" s="121"/>
      <c r="CV170" s="121"/>
      <c r="CW170" s="121"/>
      <c r="CX170" s="121"/>
      <c r="CY170" s="121"/>
      <c r="CZ170" s="121"/>
      <c r="DA170" s="105"/>
      <c r="DB170" s="122"/>
      <c r="DC170" s="122"/>
      <c r="DD170" s="122"/>
      <c r="DE170" s="122"/>
      <c r="DF170" s="122"/>
      <c r="DG170" s="122"/>
      <c r="DH170" s="122"/>
      <c r="DI170" s="122"/>
      <c r="DJ170" s="105"/>
      <c r="DK170" s="120"/>
      <c r="DL170" s="120"/>
      <c r="DM170" s="120"/>
      <c r="DN170" s="120"/>
      <c r="DO170" s="120"/>
      <c r="DP170" s="120"/>
      <c r="DQ170" s="47"/>
      <c r="DR170" s="110"/>
    </row>
    <row r="171" spans="1:122" ht="33.950000000000003" customHeight="1" thickTop="1" thickBot="1">
      <c r="A171" s="52">
        <v>32</v>
      </c>
      <c r="C171" s="109"/>
      <c r="D171" s="46"/>
      <c r="E171" s="118" t="s">
        <v>1059</v>
      </c>
      <c r="F171" s="118"/>
      <c r="G171" s="118"/>
      <c r="H171" s="118"/>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03"/>
      <c r="AR171" s="104"/>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05"/>
      <c r="BZ171" s="117"/>
      <c r="CA171" s="117"/>
      <c r="CB171" s="117"/>
      <c r="CC171" s="117"/>
      <c r="CD171" s="117"/>
      <c r="CE171" s="117"/>
      <c r="CF171" s="117"/>
      <c r="CG171" s="105"/>
      <c r="CH171" s="120"/>
      <c r="CI171" s="120"/>
      <c r="CJ171" s="120"/>
      <c r="CK171" s="120"/>
      <c r="CL171" s="120"/>
      <c r="CM171" s="120"/>
      <c r="CN171" s="105"/>
      <c r="CO171" s="121"/>
      <c r="CP171" s="121"/>
      <c r="CQ171" s="121"/>
      <c r="CR171" s="121"/>
      <c r="CS171" s="121"/>
      <c r="CT171" s="121"/>
      <c r="CU171" s="121"/>
      <c r="CV171" s="121"/>
      <c r="CW171" s="121"/>
      <c r="CX171" s="121"/>
      <c r="CY171" s="121"/>
      <c r="CZ171" s="121"/>
      <c r="DA171" s="105"/>
      <c r="DB171" s="122"/>
      <c r="DC171" s="122"/>
      <c r="DD171" s="122"/>
      <c r="DE171" s="122"/>
      <c r="DF171" s="122"/>
      <c r="DG171" s="122"/>
      <c r="DH171" s="122"/>
      <c r="DI171" s="122"/>
      <c r="DJ171" s="105"/>
      <c r="DK171" s="120"/>
      <c r="DL171" s="120"/>
      <c r="DM171" s="120"/>
      <c r="DN171" s="120"/>
      <c r="DO171" s="120"/>
      <c r="DP171" s="120"/>
      <c r="DQ171" s="47"/>
      <c r="DR171" s="110"/>
    </row>
    <row r="172" spans="1:122" ht="33.950000000000003" customHeight="1" thickTop="1" thickBot="1">
      <c r="A172" s="52">
        <v>32</v>
      </c>
      <c r="C172" s="109"/>
      <c r="D172" s="46"/>
      <c r="E172" s="118" t="s">
        <v>1060</v>
      </c>
      <c r="F172" s="118"/>
      <c r="G172" s="118"/>
      <c r="H172" s="118"/>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03"/>
      <c r="AR172" s="104"/>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05"/>
      <c r="BZ172" s="117"/>
      <c r="CA172" s="117"/>
      <c r="CB172" s="117"/>
      <c r="CC172" s="117"/>
      <c r="CD172" s="117"/>
      <c r="CE172" s="117"/>
      <c r="CF172" s="117"/>
      <c r="CG172" s="105"/>
      <c r="CH172" s="120"/>
      <c r="CI172" s="120"/>
      <c r="CJ172" s="120"/>
      <c r="CK172" s="120"/>
      <c r="CL172" s="120"/>
      <c r="CM172" s="120"/>
      <c r="CN172" s="105"/>
      <c r="CO172" s="121"/>
      <c r="CP172" s="121"/>
      <c r="CQ172" s="121"/>
      <c r="CR172" s="121"/>
      <c r="CS172" s="121"/>
      <c r="CT172" s="121"/>
      <c r="CU172" s="121"/>
      <c r="CV172" s="121"/>
      <c r="CW172" s="121"/>
      <c r="CX172" s="121"/>
      <c r="CY172" s="121"/>
      <c r="CZ172" s="121"/>
      <c r="DA172" s="105"/>
      <c r="DB172" s="122"/>
      <c r="DC172" s="122"/>
      <c r="DD172" s="122"/>
      <c r="DE172" s="122"/>
      <c r="DF172" s="122"/>
      <c r="DG172" s="122"/>
      <c r="DH172" s="122"/>
      <c r="DI172" s="122"/>
      <c r="DJ172" s="105"/>
      <c r="DK172" s="120"/>
      <c r="DL172" s="120"/>
      <c r="DM172" s="120"/>
      <c r="DN172" s="120"/>
      <c r="DO172" s="120"/>
      <c r="DP172" s="120"/>
      <c r="DQ172" s="47"/>
      <c r="DR172" s="110"/>
    </row>
    <row r="173" spans="1:122" ht="33.950000000000003" customHeight="1" thickTop="1" thickBot="1">
      <c r="A173" s="52">
        <v>32</v>
      </c>
      <c r="C173" s="109"/>
      <c r="D173" s="46"/>
      <c r="E173" s="118" t="s">
        <v>1061</v>
      </c>
      <c r="F173" s="118"/>
      <c r="G173" s="118"/>
      <c r="H173" s="118"/>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03"/>
      <c r="AR173" s="104"/>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05"/>
      <c r="BZ173" s="117"/>
      <c r="CA173" s="117"/>
      <c r="CB173" s="117"/>
      <c r="CC173" s="117"/>
      <c r="CD173" s="117"/>
      <c r="CE173" s="117"/>
      <c r="CF173" s="117"/>
      <c r="CG173" s="105"/>
      <c r="CH173" s="120"/>
      <c r="CI173" s="120"/>
      <c r="CJ173" s="120"/>
      <c r="CK173" s="120"/>
      <c r="CL173" s="120"/>
      <c r="CM173" s="120"/>
      <c r="CN173" s="105"/>
      <c r="CO173" s="121"/>
      <c r="CP173" s="121"/>
      <c r="CQ173" s="121"/>
      <c r="CR173" s="121"/>
      <c r="CS173" s="121"/>
      <c r="CT173" s="121"/>
      <c r="CU173" s="121"/>
      <c r="CV173" s="121"/>
      <c r="CW173" s="121"/>
      <c r="CX173" s="121"/>
      <c r="CY173" s="121"/>
      <c r="CZ173" s="121"/>
      <c r="DA173" s="105"/>
      <c r="DB173" s="122"/>
      <c r="DC173" s="122"/>
      <c r="DD173" s="122"/>
      <c r="DE173" s="122"/>
      <c r="DF173" s="122"/>
      <c r="DG173" s="122"/>
      <c r="DH173" s="122"/>
      <c r="DI173" s="122"/>
      <c r="DJ173" s="105"/>
      <c r="DK173" s="120"/>
      <c r="DL173" s="120"/>
      <c r="DM173" s="120"/>
      <c r="DN173" s="120"/>
      <c r="DO173" s="120"/>
      <c r="DP173" s="120"/>
      <c r="DQ173" s="47"/>
      <c r="DR173" s="110"/>
    </row>
    <row r="174" spans="1:122" ht="33.950000000000003" customHeight="1" thickTop="1" thickBot="1">
      <c r="A174" s="52">
        <v>32</v>
      </c>
      <c r="C174" s="109"/>
      <c r="D174" s="46"/>
      <c r="E174" s="118" t="s">
        <v>1062</v>
      </c>
      <c r="F174" s="118"/>
      <c r="G174" s="118"/>
      <c r="H174" s="118"/>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03"/>
      <c r="AR174" s="104"/>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05"/>
      <c r="BZ174" s="117"/>
      <c r="CA174" s="117"/>
      <c r="CB174" s="117"/>
      <c r="CC174" s="117"/>
      <c r="CD174" s="117"/>
      <c r="CE174" s="117"/>
      <c r="CF174" s="117"/>
      <c r="CG174" s="105"/>
      <c r="CH174" s="120"/>
      <c r="CI174" s="120"/>
      <c r="CJ174" s="120"/>
      <c r="CK174" s="120"/>
      <c r="CL174" s="120"/>
      <c r="CM174" s="120"/>
      <c r="CN174" s="105"/>
      <c r="CO174" s="121"/>
      <c r="CP174" s="121"/>
      <c r="CQ174" s="121"/>
      <c r="CR174" s="121"/>
      <c r="CS174" s="121"/>
      <c r="CT174" s="121"/>
      <c r="CU174" s="121"/>
      <c r="CV174" s="121"/>
      <c r="CW174" s="121"/>
      <c r="CX174" s="121"/>
      <c r="CY174" s="121"/>
      <c r="CZ174" s="121"/>
      <c r="DA174" s="105"/>
      <c r="DB174" s="122"/>
      <c r="DC174" s="122"/>
      <c r="DD174" s="122"/>
      <c r="DE174" s="122"/>
      <c r="DF174" s="122"/>
      <c r="DG174" s="122"/>
      <c r="DH174" s="122"/>
      <c r="DI174" s="122"/>
      <c r="DJ174" s="105"/>
      <c r="DK174" s="120"/>
      <c r="DL174" s="120"/>
      <c r="DM174" s="120"/>
      <c r="DN174" s="120"/>
      <c r="DO174" s="120"/>
      <c r="DP174" s="120"/>
      <c r="DQ174" s="47"/>
      <c r="DR174" s="110"/>
    </row>
    <row r="175" spans="1:122" ht="33.950000000000003" customHeight="1" thickTop="1" thickBot="1">
      <c r="A175" s="52">
        <v>32</v>
      </c>
      <c r="C175" s="109"/>
      <c r="D175" s="46"/>
      <c r="E175" s="118" t="s">
        <v>1063</v>
      </c>
      <c r="F175" s="118"/>
      <c r="G175" s="118"/>
      <c r="H175" s="118"/>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03"/>
      <c r="AR175" s="104"/>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05"/>
      <c r="BZ175" s="117"/>
      <c r="CA175" s="117"/>
      <c r="CB175" s="117"/>
      <c r="CC175" s="117"/>
      <c r="CD175" s="117"/>
      <c r="CE175" s="117"/>
      <c r="CF175" s="117"/>
      <c r="CG175" s="105"/>
      <c r="CH175" s="120"/>
      <c r="CI175" s="120"/>
      <c r="CJ175" s="120"/>
      <c r="CK175" s="120"/>
      <c r="CL175" s="120"/>
      <c r="CM175" s="120"/>
      <c r="CN175" s="105"/>
      <c r="CO175" s="121"/>
      <c r="CP175" s="121"/>
      <c r="CQ175" s="121"/>
      <c r="CR175" s="121"/>
      <c r="CS175" s="121"/>
      <c r="CT175" s="121"/>
      <c r="CU175" s="121"/>
      <c r="CV175" s="121"/>
      <c r="CW175" s="121"/>
      <c r="CX175" s="121"/>
      <c r="CY175" s="121"/>
      <c r="CZ175" s="121"/>
      <c r="DA175" s="105"/>
      <c r="DB175" s="122"/>
      <c r="DC175" s="122"/>
      <c r="DD175" s="122"/>
      <c r="DE175" s="122"/>
      <c r="DF175" s="122"/>
      <c r="DG175" s="122"/>
      <c r="DH175" s="122"/>
      <c r="DI175" s="122"/>
      <c r="DJ175" s="105"/>
      <c r="DK175" s="120"/>
      <c r="DL175" s="120"/>
      <c r="DM175" s="120"/>
      <c r="DN175" s="120"/>
      <c r="DO175" s="120"/>
      <c r="DP175" s="120"/>
      <c r="DQ175" s="47"/>
      <c r="DR175" s="110"/>
    </row>
    <row r="176" spans="1:122" ht="33.950000000000003" customHeight="1" thickTop="1" thickBot="1">
      <c r="A176" s="52">
        <v>32</v>
      </c>
      <c r="C176" s="109"/>
      <c r="D176" s="46"/>
      <c r="E176" s="118" t="s">
        <v>1064</v>
      </c>
      <c r="F176" s="118"/>
      <c r="G176" s="118"/>
      <c r="H176" s="118"/>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03"/>
      <c r="AR176" s="104"/>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05"/>
      <c r="BZ176" s="117"/>
      <c r="CA176" s="117"/>
      <c r="CB176" s="117"/>
      <c r="CC176" s="117"/>
      <c r="CD176" s="117"/>
      <c r="CE176" s="117"/>
      <c r="CF176" s="117"/>
      <c r="CG176" s="105"/>
      <c r="CH176" s="120"/>
      <c r="CI176" s="120"/>
      <c r="CJ176" s="120"/>
      <c r="CK176" s="120"/>
      <c r="CL176" s="120"/>
      <c r="CM176" s="120"/>
      <c r="CN176" s="105"/>
      <c r="CO176" s="121"/>
      <c r="CP176" s="121"/>
      <c r="CQ176" s="121"/>
      <c r="CR176" s="121"/>
      <c r="CS176" s="121"/>
      <c r="CT176" s="121"/>
      <c r="CU176" s="121"/>
      <c r="CV176" s="121"/>
      <c r="CW176" s="121"/>
      <c r="CX176" s="121"/>
      <c r="CY176" s="121"/>
      <c r="CZ176" s="121"/>
      <c r="DA176" s="105"/>
      <c r="DB176" s="122"/>
      <c r="DC176" s="122"/>
      <c r="DD176" s="122"/>
      <c r="DE176" s="122"/>
      <c r="DF176" s="122"/>
      <c r="DG176" s="122"/>
      <c r="DH176" s="122"/>
      <c r="DI176" s="122"/>
      <c r="DJ176" s="105"/>
      <c r="DK176" s="120"/>
      <c r="DL176" s="120"/>
      <c r="DM176" s="120"/>
      <c r="DN176" s="120"/>
      <c r="DO176" s="120"/>
      <c r="DP176" s="120"/>
      <c r="DQ176" s="47"/>
      <c r="DR176" s="110"/>
    </row>
    <row r="177" spans="1:124" ht="33.950000000000003" customHeight="1" thickTop="1" thickBot="1">
      <c r="A177" s="52">
        <v>32</v>
      </c>
      <c r="C177" s="109"/>
      <c r="D177" s="46"/>
      <c r="E177" s="118" t="s">
        <v>1065</v>
      </c>
      <c r="F177" s="118"/>
      <c r="G177" s="118"/>
      <c r="H177" s="118"/>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03"/>
      <c r="AR177" s="104"/>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05"/>
      <c r="BZ177" s="117"/>
      <c r="CA177" s="117"/>
      <c r="CB177" s="117"/>
      <c r="CC177" s="117"/>
      <c r="CD177" s="117"/>
      <c r="CE177" s="117"/>
      <c r="CF177" s="117"/>
      <c r="CG177" s="105"/>
      <c r="CH177" s="120"/>
      <c r="CI177" s="120"/>
      <c r="CJ177" s="120"/>
      <c r="CK177" s="120"/>
      <c r="CL177" s="120"/>
      <c r="CM177" s="120"/>
      <c r="CN177" s="105"/>
      <c r="CO177" s="121"/>
      <c r="CP177" s="121"/>
      <c r="CQ177" s="121"/>
      <c r="CR177" s="121"/>
      <c r="CS177" s="121"/>
      <c r="CT177" s="121"/>
      <c r="CU177" s="121"/>
      <c r="CV177" s="121"/>
      <c r="CW177" s="121"/>
      <c r="CX177" s="121"/>
      <c r="CY177" s="121"/>
      <c r="CZ177" s="121"/>
      <c r="DA177" s="105"/>
      <c r="DB177" s="122"/>
      <c r="DC177" s="122"/>
      <c r="DD177" s="122"/>
      <c r="DE177" s="122"/>
      <c r="DF177" s="122"/>
      <c r="DG177" s="122"/>
      <c r="DH177" s="122"/>
      <c r="DI177" s="122"/>
      <c r="DJ177" s="105"/>
      <c r="DK177" s="120"/>
      <c r="DL177" s="120"/>
      <c r="DM177" s="120"/>
      <c r="DN177" s="120"/>
      <c r="DO177" s="120"/>
      <c r="DP177" s="120"/>
      <c r="DQ177" s="47"/>
      <c r="DR177" s="110"/>
    </row>
    <row r="178" spans="1:124" ht="33.950000000000003" customHeight="1" thickTop="1" thickBot="1">
      <c r="A178" s="52">
        <v>32</v>
      </c>
      <c r="C178" s="109"/>
      <c r="D178" s="46"/>
      <c r="E178" s="118" t="s">
        <v>1066</v>
      </c>
      <c r="F178" s="118"/>
      <c r="G178" s="118"/>
      <c r="H178" s="118"/>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03"/>
      <c r="AR178" s="104"/>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05"/>
      <c r="BZ178" s="117"/>
      <c r="CA178" s="117"/>
      <c r="CB178" s="117"/>
      <c r="CC178" s="117"/>
      <c r="CD178" s="117"/>
      <c r="CE178" s="117"/>
      <c r="CF178" s="117"/>
      <c r="CG178" s="105"/>
      <c r="CH178" s="120"/>
      <c r="CI178" s="120"/>
      <c r="CJ178" s="120"/>
      <c r="CK178" s="120"/>
      <c r="CL178" s="120"/>
      <c r="CM178" s="120"/>
      <c r="CN178" s="105"/>
      <c r="CO178" s="121"/>
      <c r="CP178" s="121"/>
      <c r="CQ178" s="121"/>
      <c r="CR178" s="121"/>
      <c r="CS178" s="121"/>
      <c r="CT178" s="121"/>
      <c r="CU178" s="121"/>
      <c r="CV178" s="121"/>
      <c r="CW178" s="121"/>
      <c r="CX178" s="121"/>
      <c r="CY178" s="121"/>
      <c r="CZ178" s="121"/>
      <c r="DA178" s="105"/>
      <c r="DB178" s="122"/>
      <c r="DC178" s="122"/>
      <c r="DD178" s="122"/>
      <c r="DE178" s="122"/>
      <c r="DF178" s="122"/>
      <c r="DG178" s="122"/>
      <c r="DH178" s="122"/>
      <c r="DI178" s="122"/>
      <c r="DJ178" s="105"/>
      <c r="DK178" s="120"/>
      <c r="DL178" s="120"/>
      <c r="DM178" s="120"/>
      <c r="DN178" s="120"/>
      <c r="DO178" s="120"/>
      <c r="DP178" s="120"/>
      <c r="DQ178" s="47"/>
      <c r="DR178" s="110"/>
    </row>
    <row r="179" spans="1:124" ht="33.950000000000003" customHeight="1" thickTop="1" thickBot="1">
      <c r="A179" s="52">
        <v>32</v>
      </c>
      <c r="C179" s="109"/>
      <c r="D179" s="46"/>
      <c r="E179" s="118" t="s">
        <v>1067</v>
      </c>
      <c r="F179" s="118"/>
      <c r="G179" s="118"/>
      <c r="H179" s="118"/>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03"/>
      <c r="AR179" s="104"/>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05"/>
      <c r="BZ179" s="117"/>
      <c r="CA179" s="117"/>
      <c r="CB179" s="117"/>
      <c r="CC179" s="117"/>
      <c r="CD179" s="117"/>
      <c r="CE179" s="117"/>
      <c r="CF179" s="117"/>
      <c r="CG179" s="105"/>
      <c r="CH179" s="120"/>
      <c r="CI179" s="120"/>
      <c r="CJ179" s="120"/>
      <c r="CK179" s="120"/>
      <c r="CL179" s="120"/>
      <c r="CM179" s="120"/>
      <c r="CN179" s="105"/>
      <c r="CO179" s="121"/>
      <c r="CP179" s="121"/>
      <c r="CQ179" s="121"/>
      <c r="CR179" s="121"/>
      <c r="CS179" s="121"/>
      <c r="CT179" s="121"/>
      <c r="CU179" s="121"/>
      <c r="CV179" s="121"/>
      <c r="CW179" s="121"/>
      <c r="CX179" s="121"/>
      <c r="CY179" s="121"/>
      <c r="CZ179" s="121"/>
      <c r="DA179" s="105"/>
      <c r="DB179" s="122"/>
      <c r="DC179" s="122"/>
      <c r="DD179" s="122"/>
      <c r="DE179" s="122"/>
      <c r="DF179" s="122"/>
      <c r="DG179" s="122"/>
      <c r="DH179" s="122"/>
      <c r="DI179" s="122"/>
      <c r="DJ179" s="105"/>
      <c r="DK179" s="120"/>
      <c r="DL179" s="120"/>
      <c r="DM179" s="120"/>
      <c r="DN179" s="120"/>
      <c r="DO179" s="120"/>
      <c r="DP179" s="120"/>
      <c r="DQ179" s="47"/>
      <c r="DR179" s="110"/>
    </row>
    <row r="180" spans="1:124" ht="33.950000000000003" customHeight="1" thickTop="1" thickBot="1">
      <c r="A180" s="52">
        <v>32</v>
      </c>
      <c r="C180" s="109"/>
      <c r="D180" s="46"/>
      <c r="E180" s="118" t="s">
        <v>1068</v>
      </c>
      <c r="F180" s="118"/>
      <c r="G180" s="118"/>
      <c r="H180" s="118"/>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03"/>
      <c r="AR180" s="104"/>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05"/>
      <c r="BZ180" s="117"/>
      <c r="CA180" s="117"/>
      <c r="CB180" s="117"/>
      <c r="CC180" s="117"/>
      <c r="CD180" s="117"/>
      <c r="CE180" s="117"/>
      <c r="CF180" s="117"/>
      <c r="CG180" s="105"/>
      <c r="CH180" s="120"/>
      <c r="CI180" s="120"/>
      <c r="CJ180" s="120"/>
      <c r="CK180" s="120"/>
      <c r="CL180" s="120"/>
      <c r="CM180" s="120"/>
      <c r="CN180" s="105"/>
      <c r="CO180" s="121"/>
      <c r="CP180" s="121"/>
      <c r="CQ180" s="121"/>
      <c r="CR180" s="121"/>
      <c r="CS180" s="121"/>
      <c r="CT180" s="121"/>
      <c r="CU180" s="121"/>
      <c r="CV180" s="121"/>
      <c r="CW180" s="121"/>
      <c r="CX180" s="121"/>
      <c r="CY180" s="121"/>
      <c r="CZ180" s="121"/>
      <c r="DA180" s="105"/>
      <c r="DB180" s="122"/>
      <c r="DC180" s="122"/>
      <c r="DD180" s="122"/>
      <c r="DE180" s="122"/>
      <c r="DF180" s="122"/>
      <c r="DG180" s="122"/>
      <c r="DH180" s="122"/>
      <c r="DI180" s="122"/>
      <c r="DJ180" s="105"/>
      <c r="DK180" s="120"/>
      <c r="DL180" s="120"/>
      <c r="DM180" s="120"/>
      <c r="DN180" s="120"/>
      <c r="DO180" s="120"/>
      <c r="DP180" s="120"/>
      <c r="DQ180" s="47"/>
      <c r="DR180" s="110"/>
    </row>
    <row r="181" spans="1:124" ht="5.0999999999999996" customHeight="1" thickTop="1">
      <c r="A181" s="52">
        <v>5</v>
      </c>
      <c r="C181" s="109"/>
      <c r="D181" s="46"/>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89"/>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89"/>
      <c r="BY181" s="89"/>
      <c r="BZ181" s="89"/>
      <c r="CA181" s="89"/>
      <c r="CB181" s="89"/>
      <c r="CC181" s="42"/>
      <c r="CD181" s="42"/>
      <c r="CE181" s="69"/>
      <c r="CF181" s="69"/>
      <c r="CG181" s="89"/>
      <c r="CH181" s="42"/>
      <c r="CI181" s="42"/>
      <c r="CJ181" s="42"/>
      <c r="CK181" s="42"/>
      <c r="CL181" s="42"/>
      <c r="CM181" s="42"/>
      <c r="CN181" s="89"/>
      <c r="CO181" s="42"/>
      <c r="CP181" s="42"/>
      <c r="CQ181" s="42"/>
      <c r="CR181" s="42"/>
      <c r="CS181" s="42"/>
      <c r="CT181" s="42"/>
      <c r="CU181" s="42"/>
      <c r="CV181" s="42"/>
      <c r="CW181" s="42"/>
      <c r="CX181" s="42"/>
      <c r="CY181" s="42"/>
      <c r="CZ181" s="42"/>
      <c r="DA181" s="31"/>
      <c r="DB181" s="42"/>
      <c r="DC181" s="42"/>
      <c r="DD181" s="42"/>
      <c r="DE181" s="42"/>
      <c r="DF181" s="42"/>
      <c r="DG181" s="42"/>
      <c r="DH181" s="42"/>
      <c r="DI181" s="31"/>
      <c r="DJ181" s="31"/>
      <c r="DK181" s="42"/>
      <c r="DL181" s="42"/>
      <c r="DM181" s="42"/>
      <c r="DN181" s="42"/>
      <c r="DO181" s="42"/>
      <c r="DP181" s="42"/>
      <c r="DQ181" s="47"/>
      <c r="DR181" s="110"/>
      <c r="DS181" s="12"/>
      <c r="DT181" s="13"/>
    </row>
    <row r="182" spans="1:124" ht="30" customHeight="1">
      <c r="A182" s="52"/>
      <c r="C182" s="109"/>
      <c r="D182" s="46"/>
      <c r="E182" s="185" t="str">
        <f>"مجموع ساعات التدريب الفصلية من"&amp;" (  "&amp;$CH$183&amp;" )  "&amp;"ساعة"</f>
        <v>مجموع ساعات التدريب الفصلية من (  78 )  ساعة</v>
      </c>
      <c r="F182" s="185"/>
      <c r="G182" s="185"/>
      <c r="H182" s="185"/>
      <c r="I182" s="185"/>
      <c r="J182" s="185"/>
      <c r="K182" s="185"/>
      <c r="L182" s="185"/>
      <c r="M182" s="185"/>
      <c r="N182" s="185"/>
      <c r="O182" s="185"/>
      <c r="P182" s="185"/>
      <c r="Q182" s="185"/>
      <c r="R182" s="185"/>
      <c r="S182" s="185"/>
      <c r="T182" s="185"/>
      <c r="U182" s="185"/>
      <c r="V182" s="185"/>
      <c r="W182" s="185"/>
      <c r="X182" s="185"/>
      <c r="Y182" s="185"/>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c r="AY182" s="185"/>
      <c r="AZ182" s="185"/>
      <c r="BA182" s="185"/>
      <c r="BB182" s="185"/>
      <c r="BC182" s="185"/>
      <c r="BD182" s="185"/>
      <c r="BE182" s="185"/>
      <c r="BF182" s="185"/>
      <c r="BG182" s="185"/>
      <c r="BH182" s="185"/>
      <c r="BI182" s="185"/>
      <c r="BJ182" s="185"/>
      <c r="BK182" s="185"/>
      <c r="BL182" s="185"/>
      <c r="BM182" s="185"/>
      <c r="BN182" s="185"/>
      <c r="BO182" s="185"/>
      <c r="BP182" s="185"/>
      <c r="BQ182" s="185"/>
      <c r="BR182" s="185"/>
      <c r="BS182" s="185"/>
      <c r="BT182" s="185"/>
      <c r="BU182" s="185"/>
      <c r="BV182" s="185"/>
      <c r="BW182" s="185"/>
      <c r="BX182" s="185"/>
      <c r="BY182" s="185"/>
      <c r="BZ182" s="185"/>
      <c r="CA182" s="185"/>
      <c r="CB182" s="185"/>
      <c r="CC182" s="185"/>
      <c r="CD182" s="185"/>
      <c r="CE182" s="185"/>
      <c r="CF182" s="185"/>
      <c r="CG182" s="185"/>
      <c r="CH182" s="173">
        <f>SUM($CH$141:$CH$180)</f>
        <v>103</v>
      </c>
      <c r="CI182" s="185"/>
      <c r="CJ182" s="185"/>
      <c r="CK182" s="185"/>
      <c r="CL182" s="185"/>
      <c r="CM182" s="185"/>
      <c r="CN182" s="89"/>
      <c r="CO182" s="147" t="s">
        <v>1069</v>
      </c>
      <c r="CP182" s="147"/>
      <c r="CQ182" s="147"/>
      <c r="CR182" s="147"/>
      <c r="CS182" s="147"/>
      <c r="CT182" s="147"/>
      <c r="CU182" s="147"/>
      <c r="CV182" s="147"/>
      <c r="CW182" s="147"/>
      <c r="CX182" s="147"/>
      <c r="CY182" s="147"/>
      <c r="CZ182" s="147"/>
      <c r="DA182" s="147"/>
      <c r="DB182" s="147"/>
      <c r="DC182" s="147"/>
      <c r="DD182" s="147"/>
      <c r="DE182" s="147"/>
      <c r="DF182" s="147"/>
      <c r="DG182" s="147"/>
      <c r="DH182" s="147"/>
      <c r="DI182" s="147"/>
      <c r="DJ182" s="147"/>
      <c r="DK182" s="173">
        <f>SUM($DK$141:$DK$180)</f>
        <v>100</v>
      </c>
      <c r="DL182" s="173"/>
      <c r="DM182" s="173"/>
      <c r="DN182" s="173"/>
      <c r="DO182" s="173"/>
      <c r="DP182" s="173"/>
      <c r="DQ182" s="47"/>
      <c r="DR182" s="110"/>
    </row>
    <row r="183" spans="1:124" ht="5.0999999999999996" customHeight="1">
      <c r="A183" s="52"/>
      <c r="C183" s="109"/>
      <c r="D183" s="48"/>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181">
        <f>$CJ$87*13</f>
        <v>78</v>
      </c>
      <c r="CI183" s="181"/>
      <c r="CJ183" s="181"/>
      <c r="CK183" s="181"/>
      <c r="CL183" s="181"/>
      <c r="CM183" s="181"/>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50"/>
      <c r="DR183" s="110"/>
      <c r="DS183" s="12"/>
      <c r="DT183" s="13"/>
    </row>
    <row r="184" spans="1:124" s="5" customFormat="1" ht="5.0999999999999996" customHeight="1">
      <c r="A184" s="94"/>
      <c r="C184" s="10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10"/>
      <c r="DS184" s="12"/>
      <c r="DT184" s="12"/>
    </row>
    <row r="185" spans="1:124" ht="29.1" customHeight="1">
      <c r="A185" s="52"/>
      <c r="C185" s="109"/>
      <c r="D185" s="182" t="s">
        <v>1070</v>
      </c>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c r="AB185" s="183"/>
      <c r="AC185" s="183"/>
      <c r="AD185" s="183"/>
      <c r="AE185" s="183"/>
      <c r="AF185" s="183"/>
      <c r="AG185" s="183"/>
      <c r="AH185" s="183"/>
      <c r="AI185" s="183"/>
      <c r="AJ185" s="183"/>
      <c r="AK185" s="183"/>
      <c r="AL185" s="183"/>
      <c r="AM185" s="183"/>
      <c r="AN185" s="183"/>
      <c r="AO185" s="183"/>
      <c r="AP185" s="183"/>
      <c r="AQ185" s="183"/>
      <c r="AR185" s="183"/>
      <c r="AS185" s="183"/>
      <c r="AT185" s="183"/>
      <c r="AU185" s="183"/>
      <c r="AV185" s="183"/>
      <c r="AW185" s="183"/>
      <c r="AX185" s="183"/>
      <c r="AY185" s="183"/>
      <c r="AZ185" s="183"/>
      <c r="BA185" s="183"/>
      <c r="BB185" s="183"/>
      <c r="BC185" s="183"/>
      <c r="BD185" s="183"/>
      <c r="BE185" s="183"/>
      <c r="BF185" s="183"/>
      <c r="BG185" s="183"/>
      <c r="BH185" s="183"/>
      <c r="BI185" s="183"/>
      <c r="BJ185" s="183"/>
      <c r="BK185" s="183"/>
      <c r="BL185" s="183"/>
      <c r="BM185" s="183"/>
      <c r="BN185" s="183"/>
      <c r="BO185" s="183"/>
      <c r="BP185" s="183"/>
      <c r="BQ185" s="183"/>
      <c r="BR185" s="183"/>
      <c r="BS185" s="183"/>
      <c r="BT185" s="183"/>
      <c r="BU185" s="183"/>
      <c r="BV185" s="183"/>
      <c r="BW185" s="183"/>
      <c r="BX185" s="183"/>
      <c r="BY185" s="183"/>
      <c r="BZ185" s="183"/>
      <c r="CA185" s="183"/>
      <c r="CB185" s="183"/>
      <c r="CC185" s="183"/>
      <c r="CD185" s="183"/>
      <c r="CE185" s="183"/>
      <c r="CF185" s="183"/>
      <c r="CG185" s="183"/>
      <c r="CH185" s="183"/>
      <c r="CI185" s="183"/>
      <c r="CJ185" s="183"/>
      <c r="CK185" s="183"/>
      <c r="CL185" s="183"/>
      <c r="CM185" s="183"/>
      <c r="CN185" s="183"/>
      <c r="CO185" s="183"/>
      <c r="CP185" s="183"/>
      <c r="CQ185" s="183"/>
      <c r="CR185" s="183"/>
      <c r="CS185" s="183"/>
      <c r="CT185" s="183"/>
      <c r="CU185" s="183"/>
      <c r="CV185" s="183"/>
      <c r="CW185" s="183"/>
      <c r="CX185" s="183"/>
      <c r="CY185" s="183"/>
      <c r="CZ185" s="183"/>
      <c r="DA185" s="183"/>
      <c r="DB185" s="183"/>
      <c r="DC185" s="183"/>
      <c r="DD185" s="183"/>
      <c r="DE185" s="183"/>
      <c r="DF185" s="183"/>
      <c r="DG185" s="183"/>
      <c r="DH185" s="183"/>
      <c r="DI185" s="183"/>
      <c r="DJ185" s="183"/>
      <c r="DK185" s="183"/>
      <c r="DL185" s="183"/>
      <c r="DM185" s="183"/>
      <c r="DN185" s="183"/>
      <c r="DO185" s="183"/>
      <c r="DP185" s="183"/>
      <c r="DQ185" s="184"/>
      <c r="DR185" s="110"/>
      <c r="DS185" s="12"/>
      <c r="DT185" s="13"/>
    </row>
    <row r="186" spans="1:124" s="5" customFormat="1" ht="5.0999999999999996" customHeight="1">
      <c r="A186" s="94"/>
      <c r="C186" s="10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10"/>
      <c r="DS186" s="12"/>
      <c r="DT186" s="12"/>
    </row>
    <row r="187" spans="1:124" ht="5.0999999999999996" customHeight="1">
      <c r="A187" s="52"/>
      <c r="C187" s="109"/>
      <c r="D187" s="43"/>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c r="CJ187" s="44"/>
      <c r="CK187" s="44"/>
      <c r="CL187" s="44"/>
      <c r="CM187" s="44"/>
      <c r="CN187" s="44"/>
      <c r="CO187" s="44"/>
      <c r="CP187" s="44"/>
      <c r="CQ187" s="44"/>
      <c r="CR187" s="44"/>
      <c r="CS187" s="44"/>
      <c r="CT187" s="44"/>
      <c r="CU187" s="44"/>
      <c r="CV187" s="44"/>
      <c r="CW187" s="44"/>
      <c r="CX187" s="44"/>
      <c r="CY187" s="44"/>
      <c r="CZ187" s="44"/>
      <c r="DA187" s="44"/>
      <c r="DB187" s="44"/>
      <c r="DC187" s="44"/>
      <c r="DD187" s="44"/>
      <c r="DE187" s="44"/>
      <c r="DF187" s="44"/>
      <c r="DG187" s="44"/>
      <c r="DH187" s="44"/>
      <c r="DI187" s="44"/>
      <c r="DJ187" s="44"/>
      <c r="DK187" s="44"/>
      <c r="DL187" s="44"/>
      <c r="DM187" s="44"/>
      <c r="DN187" s="44"/>
      <c r="DO187" s="44"/>
      <c r="DP187" s="44"/>
      <c r="DQ187" s="45"/>
      <c r="DR187" s="110"/>
      <c r="DS187" s="12"/>
      <c r="DT187" s="13"/>
    </row>
    <row r="188" spans="1:124" ht="28.35" customHeight="1">
      <c r="A188" s="52"/>
      <c r="C188" s="109"/>
      <c r="D188" s="46"/>
      <c r="E188" s="191" t="s">
        <v>1071</v>
      </c>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c r="BF188" s="191"/>
      <c r="BG188" s="191"/>
      <c r="BH188" s="191"/>
      <c r="BI188" s="191"/>
      <c r="BJ188" s="191"/>
      <c r="BK188" s="191"/>
      <c r="BL188" s="191"/>
      <c r="BM188" s="191"/>
      <c r="BN188" s="191"/>
      <c r="BO188" s="191"/>
      <c r="BP188" s="191"/>
      <c r="BQ188" s="191"/>
      <c r="BR188" s="191"/>
      <c r="BS188" s="191"/>
      <c r="BT188" s="191"/>
      <c r="BU188" s="191"/>
      <c r="BV188" s="191"/>
      <c r="BW188" s="191"/>
      <c r="BX188" s="191"/>
      <c r="BY188" s="89"/>
      <c r="BZ188" s="192" t="s">
        <v>1072</v>
      </c>
      <c r="CA188" s="192"/>
      <c r="CB188" s="192"/>
      <c r="CC188" s="192"/>
      <c r="CD188" s="192"/>
      <c r="CE188" s="192"/>
      <c r="CF188" s="192"/>
      <c r="CG188" s="192"/>
      <c r="CH188" s="192"/>
      <c r="CI188" s="192"/>
      <c r="CJ188" s="192"/>
      <c r="CK188" s="192"/>
      <c r="CL188" s="192"/>
      <c r="CM188" s="192"/>
      <c r="CN188" s="192"/>
      <c r="CO188" s="192"/>
      <c r="CP188" s="192"/>
      <c r="CQ188" s="192"/>
      <c r="CR188" s="192"/>
      <c r="CS188" s="192"/>
      <c r="CT188" s="192"/>
      <c r="CU188" s="192"/>
      <c r="CV188" s="192"/>
      <c r="CW188" s="192"/>
      <c r="CX188" s="192"/>
      <c r="CY188" s="192"/>
      <c r="CZ188" s="192"/>
      <c r="DA188" s="192"/>
      <c r="DB188" s="192"/>
      <c r="DC188" s="192"/>
      <c r="DD188" s="192"/>
      <c r="DE188" s="192"/>
      <c r="DF188" s="192"/>
      <c r="DG188" s="192"/>
      <c r="DH188" s="192"/>
      <c r="DI188" s="192"/>
      <c r="DJ188" s="31"/>
      <c r="DK188" s="189">
        <f>SUM($DK$141:$DK$180)-DK190</f>
        <v>55</v>
      </c>
      <c r="DL188" s="190"/>
      <c r="DM188" s="190"/>
      <c r="DN188" s="190"/>
      <c r="DO188" s="190"/>
      <c r="DP188" s="190"/>
      <c r="DQ188" s="47"/>
      <c r="DR188" s="110"/>
    </row>
    <row r="189" spans="1:124" ht="0.95" customHeight="1">
      <c r="A189" s="52"/>
      <c r="C189" s="109"/>
      <c r="D189" s="46"/>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c r="BF189" s="191"/>
      <c r="BG189" s="191"/>
      <c r="BH189" s="191"/>
      <c r="BI189" s="191"/>
      <c r="BJ189" s="191"/>
      <c r="BK189" s="191"/>
      <c r="BL189" s="191"/>
      <c r="BM189" s="191"/>
      <c r="BN189" s="191"/>
      <c r="BO189" s="191"/>
      <c r="BP189" s="191"/>
      <c r="BQ189" s="191"/>
      <c r="BR189" s="191"/>
      <c r="BS189" s="191"/>
      <c r="BT189" s="191"/>
      <c r="BU189" s="191"/>
      <c r="BV189" s="191"/>
      <c r="BW189" s="191"/>
      <c r="BX189" s="191"/>
      <c r="BY189" s="89"/>
      <c r="BZ189" s="31"/>
      <c r="CA189" s="31"/>
      <c r="CB189" s="31"/>
      <c r="CC189" s="31"/>
      <c r="CD189" s="31"/>
      <c r="CE189" s="31"/>
      <c r="CF189" s="31"/>
      <c r="CG189" s="31"/>
      <c r="CH189" s="31"/>
      <c r="CI189" s="31"/>
      <c r="CJ189" s="31"/>
      <c r="CK189" s="31"/>
      <c r="CL189" s="31"/>
      <c r="CM189" s="31"/>
      <c r="CN189" s="31"/>
      <c r="CO189" s="31"/>
      <c r="CP189" s="31"/>
      <c r="CQ189" s="31"/>
      <c r="CR189" s="31"/>
      <c r="CS189" s="31"/>
      <c r="CT189" s="31"/>
      <c r="CU189" s="31"/>
      <c r="CV189" s="31"/>
      <c r="CW189" s="31"/>
      <c r="CX189" s="31"/>
      <c r="CY189" s="31"/>
      <c r="CZ189" s="31"/>
      <c r="DA189" s="31"/>
      <c r="DB189" s="31"/>
      <c r="DC189" s="31"/>
      <c r="DD189" s="31"/>
      <c r="DE189" s="31"/>
      <c r="DF189" s="31"/>
      <c r="DG189" s="31"/>
      <c r="DH189" s="31"/>
      <c r="DI189" s="31"/>
      <c r="DJ189" s="31"/>
      <c r="DK189" s="31"/>
      <c r="DL189" s="31"/>
      <c r="DM189" s="31"/>
      <c r="DN189" s="31"/>
      <c r="DO189" s="31"/>
      <c r="DP189" s="31"/>
      <c r="DQ189" s="47"/>
      <c r="DR189" s="110"/>
      <c r="DS189" s="12"/>
      <c r="DT189" s="13"/>
    </row>
    <row r="190" spans="1:124" ht="28.35" customHeight="1">
      <c r="A190" s="52"/>
      <c r="C190" s="109"/>
      <c r="D190" s="46"/>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c r="BF190" s="191"/>
      <c r="BG190" s="191"/>
      <c r="BH190" s="191"/>
      <c r="BI190" s="191"/>
      <c r="BJ190" s="191"/>
      <c r="BK190" s="191"/>
      <c r="BL190" s="191"/>
      <c r="BM190" s="191"/>
      <c r="BN190" s="191"/>
      <c r="BO190" s="191"/>
      <c r="BP190" s="191"/>
      <c r="BQ190" s="191"/>
      <c r="BR190" s="191"/>
      <c r="BS190" s="191"/>
      <c r="BT190" s="191"/>
      <c r="BU190" s="191"/>
      <c r="BV190" s="191"/>
      <c r="BW190" s="191"/>
      <c r="BX190" s="191"/>
      <c r="BY190" s="89"/>
      <c r="BZ190" s="192" t="s">
        <v>1073</v>
      </c>
      <c r="CA190" s="192"/>
      <c r="CB190" s="192"/>
      <c r="CC190" s="192"/>
      <c r="CD190" s="192"/>
      <c r="CE190" s="192"/>
      <c r="CF190" s="192"/>
      <c r="CG190" s="192"/>
      <c r="CH190" s="192"/>
      <c r="CI190" s="192"/>
      <c r="CJ190" s="192"/>
      <c r="CK190" s="192"/>
      <c r="CL190" s="192"/>
      <c r="CM190" s="192"/>
      <c r="CN190" s="192"/>
      <c r="CO190" s="192"/>
      <c r="CP190" s="192"/>
      <c r="CQ190" s="192"/>
      <c r="CR190" s="192"/>
      <c r="CS190" s="192"/>
      <c r="CT190" s="192"/>
      <c r="CU190" s="192"/>
      <c r="CV190" s="192"/>
      <c r="CW190" s="192"/>
      <c r="CX190" s="192"/>
      <c r="CY190" s="192"/>
      <c r="CZ190" s="192"/>
      <c r="DA190" s="192"/>
      <c r="DB190" s="192"/>
      <c r="DC190" s="192"/>
      <c r="DD190" s="192"/>
      <c r="DE190" s="192"/>
      <c r="DF190" s="192"/>
      <c r="DG190" s="192"/>
      <c r="DH190" s="192"/>
      <c r="DI190" s="192"/>
      <c r="DJ190" s="31"/>
      <c r="DK190" s="190">
        <f>SUMIFS($DK$141:$DK$180,$DB$141:$DB$180,Data!$C$12)</f>
        <v>45</v>
      </c>
      <c r="DL190" s="190"/>
      <c r="DM190" s="190"/>
      <c r="DN190" s="190"/>
      <c r="DO190" s="190"/>
      <c r="DP190" s="190"/>
      <c r="DQ190" s="47"/>
      <c r="DR190" s="110"/>
      <c r="DS190" s="12"/>
      <c r="DT190" s="13"/>
    </row>
    <row r="191" spans="1:124" ht="0.95" customHeight="1">
      <c r="A191" s="52"/>
      <c r="C191" s="109"/>
      <c r="D191" s="46"/>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c r="BF191" s="191"/>
      <c r="BG191" s="191"/>
      <c r="BH191" s="191"/>
      <c r="BI191" s="191"/>
      <c r="BJ191" s="191"/>
      <c r="BK191" s="191"/>
      <c r="BL191" s="191"/>
      <c r="BM191" s="191"/>
      <c r="BN191" s="191"/>
      <c r="BO191" s="191"/>
      <c r="BP191" s="191"/>
      <c r="BQ191" s="191"/>
      <c r="BR191" s="191"/>
      <c r="BS191" s="191"/>
      <c r="BT191" s="191"/>
      <c r="BU191" s="191"/>
      <c r="BV191" s="191"/>
      <c r="BW191" s="191"/>
      <c r="BX191" s="191"/>
      <c r="BY191" s="89"/>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31"/>
      <c r="DP191" s="31"/>
      <c r="DQ191" s="47"/>
      <c r="DR191" s="110"/>
      <c r="DS191" s="12"/>
      <c r="DT191" s="13"/>
    </row>
    <row r="192" spans="1:124" ht="28.35" customHeight="1">
      <c r="A192" s="52"/>
      <c r="C192" s="109"/>
      <c r="D192" s="46"/>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c r="BF192" s="191"/>
      <c r="BG192" s="191"/>
      <c r="BH192" s="191"/>
      <c r="BI192" s="191"/>
      <c r="BJ192" s="191"/>
      <c r="BK192" s="191"/>
      <c r="BL192" s="191"/>
      <c r="BM192" s="191"/>
      <c r="BN192" s="191"/>
      <c r="BO192" s="191"/>
      <c r="BP192" s="191"/>
      <c r="BQ192" s="191"/>
      <c r="BR192" s="191"/>
      <c r="BS192" s="191"/>
      <c r="BT192" s="191"/>
      <c r="BU192" s="191"/>
      <c r="BV192" s="191"/>
      <c r="BW192" s="191"/>
      <c r="BX192" s="191"/>
      <c r="BY192" s="89"/>
      <c r="BZ192" s="192" t="s">
        <v>1074</v>
      </c>
      <c r="CA192" s="192"/>
      <c r="CB192" s="192"/>
      <c r="CC192" s="192"/>
      <c r="CD192" s="192"/>
      <c r="CE192" s="192"/>
      <c r="CF192" s="192"/>
      <c r="CG192" s="192"/>
      <c r="CH192" s="192"/>
      <c r="CI192" s="192"/>
      <c r="CJ192" s="192"/>
      <c r="CK192" s="192"/>
      <c r="CL192" s="192"/>
      <c r="CM192" s="192"/>
      <c r="CN192" s="192"/>
      <c r="CO192" s="192"/>
      <c r="CP192" s="192"/>
      <c r="CQ192" s="192"/>
      <c r="CR192" s="192"/>
      <c r="CS192" s="192"/>
      <c r="CT192" s="192"/>
      <c r="CU192" s="192"/>
      <c r="CV192" s="192"/>
      <c r="CW192" s="192"/>
      <c r="CX192" s="192"/>
      <c r="CY192" s="192"/>
      <c r="CZ192" s="192"/>
      <c r="DA192" s="192"/>
      <c r="DB192" s="192"/>
      <c r="DC192" s="192"/>
      <c r="DD192" s="192"/>
      <c r="DE192" s="192"/>
      <c r="DF192" s="192"/>
      <c r="DG192" s="192"/>
      <c r="DH192" s="192"/>
      <c r="DI192" s="192"/>
      <c r="DJ192" s="31"/>
      <c r="DK192" s="189">
        <f>SUM($DK$188,$DK$189:$DP$191)</f>
        <v>100</v>
      </c>
      <c r="DL192" s="190"/>
      <c r="DM192" s="190"/>
      <c r="DN192" s="190"/>
      <c r="DO192" s="190"/>
      <c r="DP192" s="190"/>
      <c r="DQ192" s="47"/>
      <c r="DR192" s="110"/>
      <c r="DS192" s="12"/>
      <c r="DT192" s="13"/>
    </row>
    <row r="193" spans="1:124" ht="5.0999999999999996" customHeight="1">
      <c r="A193" s="52"/>
      <c r="C193" s="109"/>
      <c r="D193" s="48"/>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50"/>
      <c r="DR193" s="110"/>
      <c r="DS193" s="12"/>
      <c r="DT193" s="13"/>
    </row>
    <row r="194" spans="1:124" s="5" customFormat="1" ht="5.0999999999999996" customHeight="1" thickBot="1">
      <c r="A194" s="94"/>
      <c r="C194" s="111"/>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c r="AH194" s="112"/>
      <c r="AI194" s="112"/>
      <c r="AJ194" s="112"/>
      <c r="AK194" s="112"/>
      <c r="AL194" s="112"/>
      <c r="AM194" s="112"/>
      <c r="AN194" s="112"/>
      <c r="AO194" s="112"/>
      <c r="AP194" s="112"/>
      <c r="AQ194" s="112"/>
      <c r="AR194" s="112"/>
      <c r="AS194" s="112"/>
      <c r="AT194" s="112"/>
      <c r="AU194" s="112"/>
      <c r="AV194" s="112"/>
      <c r="AW194" s="112"/>
      <c r="AX194" s="112"/>
      <c r="AY194" s="112"/>
      <c r="AZ194" s="112"/>
      <c r="BA194" s="112"/>
      <c r="BB194" s="112"/>
      <c r="BC194" s="112"/>
      <c r="BD194" s="112"/>
      <c r="BE194" s="112"/>
      <c r="BF194" s="112"/>
      <c r="BG194" s="112"/>
      <c r="BH194" s="112"/>
      <c r="BI194" s="112"/>
      <c r="BJ194" s="112"/>
      <c r="BK194" s="112"/>
      <c r="BL194" s="112"/>
      <c r="BM194" s="112"/>
      <c r="BN194" s="112"/>
      <c r="BO194" s="112"/>
      <c r="BP194" s="112"/>
      <c r="BQ194" s="112"/>
      <c r="BR194" s="112"/>
      <c r="BS194" s="112"/>
      <c r="BT194" s="112"/>
      <c r="BU194" s="112"/>
      <c r="BV194" s="112"/>
      <c r="BW194" s="112"/>
      <c r="BX194" s="112"/>
      <c r="BY194" s="112"/>
      <c r="BZ194" s="112"/>
      <c r="CA194" s="112"/>
      <c r="CB194" s="112"/>
      <c r="CC194" s="112"/>
      <c r="CD194" s="112"/>
      <c r="CE194" s="112"/>
      <c r="CF194" s="112"/>
      <c r="CG194" s="112"/>
      <c r="CH194" s="112"/>
      <c r="CI194" s="112"/>
      <c r="CJ194" s="112"/>
      <c r="CK194" s="112"/>
      <c r="CL194" s="112"/>
      <c r="CM194" s="112"/>
      <c r="CN194" s="112"/>
      <c r="CO194" s="112"/>
      <c r="CP194" s="112"/>
      <c r="CQ194" s="112"/>
      <c r="CR194" s="112"/>
      <c r="CS194" s="112"/>
      <c r="CT194" s="112"/>
      <c r="CU194" s="112"/>
      <c r="CV194" s="112"/>
      <c r="CW194" s="112"/>
      <c r="CX194" s="112"/>
      <c r="CY194" s="112"/>
      <c r="CZ194" s="112"/>
      <c r="DA194" s="112"/>
      <c r="DB194" s="112"/>
      <c r="DC194" s="112"/>
      <c r="DD194" s="112"/>
      <c r="DE194" s="112"/>
      <c r="DF194" s="112"/>
      <c r="DG194" s="112"/>
      <c r="DH194" s="112"/>
      <c r="DI194" s="112"/>
      <c r="DJ194" s="112"/>
      <c r="DK194" s="112"/>
      <c r="DL194" s="112"/>
      <c r="DM194" s="112"/>
      <c r="DN194" s="112"/>
      <c r="DO194" s="112"/>
      <c r="DP194" s="112"/>
      <c r="DQ194" s="112"/>
      <c r="DR194" s="113"/>
      <c r="DS194" s="12"/>
      <c r="DT194" s="12"/>
    </row>
    <row r="195" spans="1:124" ht="5.0999999999999996" customHeight="1" thickTop="1">
      <c r="DS195" s="12"/>
    </row>
    <row r="196" spans="1:124" ht="2.1" customHeight="1">
      <c r="DS196" s="12"/>
    </row>
    <row r="197" spans="1:124" s="5" customFormat="1" ht="15" customHeight="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row>
    <row r="198" spans="1:124" s="5" customFormat="1" ht="39.950000000000003" customHeight="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row>
    <row r="199" spans="1:124" s="5" customFormat="1" ht="5.0999999999999996" customHeight="1">
      <c r="B199" s="12"/>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19"/>
      <c r="DA199" s="19"/>
      <c r="DB199" s="19"/>
      <c r="DC199" s="19"/>
      <c r="DD199" s="19"/>
      <c r="DE199" s="19"/>
      <c r="DF199" s="19"/>
      <c r="DG199" s="19"/>
      <c r="DH199" s="19"/>
      <c r="DI199" s="19"/>
      <c r="DJ199" s="19"/>
      <c r="DK199" s="19"/>
      <c r="DL199" s="19"/>
      <c r="DM199" s="19"/>
      <c r="DN199" s="19"/>
      <c r="DO199" s="19"/>
      <c r="DP199" s="19"/>
      <c r="DQ199" s="19"/>
      <c r="DR199" s="19"/>
      <c r="DS199" s="12"/>
      <c r="DT199" s="12"/>
    </row>
    <row r="200" spans="1:124" ht="15" customHeight="1">
      <c r="A200" s="12"/>
      <c r="B200" s="18"/>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19"/>
      <c r="DA200" s="19"/>
      <c r="DB200" s="19"/>
      <c r="DC200" s="19"/>
      <c r="DD200" s="19"/>
      <c r="DE200" s="19"/>
      <c r="DF200" s="19"/>
      <c r="DG200" s="19"/>
      <c r="DH200" s="19"/>
      <c r="DI200" s="19"/>
      <c r="DJ200" s="19"/>
      <c r="DK200" s="19"/>
      <c r="DL200" s="19"/>
      <c r="DM200" s="19"/>
      <c r="DN200" s="19"/>
      <c r="DO200" s="19"/>
      <c r="DP200" s="19"/>
      <c r="DQ200" s="19"/>
      <c r="DR200" s="19"/>
      <c r="DS200" s="12"/>
      <c r="DT200" s="13"/>
    </row>
    <row r="201" spans="1:124" ht="5.0999999999999996" customHeight="1">
      <c r="A201" s="12"/>
      <c r="B201" s="18"/>
      <c r="C201" s="19"/>
      <c r="D201" s="19"/>
      <c r="E201" s="19"/>
      <c r="F201" s="43"/>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5"/>
      <c r="DP201" s="19"/>
      <c r="DQ201" s="19"/>
      <c r="DR201" s="19"/>
      <c r="DS201" s="12"/>
      <c r="DT201" s="13"/>
    </row>
    <row r="202" spans="1:124" ht="39.950000000000003" customHeight="1">
      <c r="A202" s="12"/>
      <c r="B202" s="18"/>
      <c r="C202" s="19"/>
      <c r="D202" s="19"/>
      <c r="E202" s="19"/>
      <c r="F202" s="46"/>
      <c r="G202" s="186" t="s">
        <v>1075</v>
      </c>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42"/>
      <c r="AR202" s="42"/>
      <c r="AS202" s="186" t="s">
        <v>1076</v>
      </c>
      <c r="AT202" s="186"/>
      <c r="AU202" s="186"/>
      <c r="AV202" s="186"/>
      <c r="AW202" s="186"/>
      <c r="AX202" s="186"/>
      <c r="AY202" s="186"/>
      <c r="AZ202" s="186"/>
      <c r="BA202" s="186"/>
      <c r="BB202" s="186"/>
      <c r="BC202" s="186"/>
      <c r="BD202" s="186"/>
      <c r="BE202" s="186"/>
      <c r="BF202" s="186"/>
      <c r="BG202" s="186"/>
      <c r="BH202" s="186"/>
      <c r="BI202" s="186"/>
      <c r="BJ202" s="186"/>
      <c r="BK202" s="186"/>
      <c r="BL202" s="186"/>
      <c r="BM202" s="186"/>
      <c r="BN202" s="186"/>
      <c r="BO202" s="186"/>
      <c r="BP202" s="186"/>
      <c r="BQ202" s="186"/>
      <c r="BR202" s="186"/>
      <c r="BS202" s="186"/>
      <c r="BT202" s="186"/>
      <c r="BU202" s="186"/>
      <c r="BV202" s="186"/>
      <c r="BW202" s="186"/>
      <c r="BX202" s="186"/>
      <c r="BY202" s="186"/>
      <c r="BZ202" s="186"/>
      <c r="CA202" s="186"/>
      <c r="CB202" s="42"/>
      <c r="CC202" s="186" t="s">
        <v>1077</v>
      </c>
      <c r="CD202" s="186"/>
      <c r="CE202" s="186"/>
      <c r="CF202" s="186"/>
      <c r="CG202" s="186"/>
      <c r="CH202" s="186"/>
      <c r="CI202" s="186"/>
      <c r="CJ202" s="186"/>
      <c r="CK202" s="186"/>
      <c r="CL202" s="186"/>
      <c r="CM202" s="186"/>
      <c r="CN202" s="186"/>
      <c r="CO202" s="186"/>
      <c r="CP202" s="186"/>
      <c r="CQ202" s="186"/>
      <c r="CR202" s="186"/>
      <c r="CS202" s="186"/>
      <c r="CT202" s="186"/>
      <c r="CU202" s="186"/>
      <c r="CV202" s="186"/>
      <c r="CW202" s="186"/>
      <c r="CX202" s="186"/>
      <c r="CY202" s="186"/>
      <c r="CZ202" s="186"/>
      <c r="DA202" s="186"/>
      <c r="DB202" s="186"/>
      <c r="DC202" s="186"/>
      <c r="DD202" s="186"/>
      <c r="DE202" s="186"/>
      <c r="DF202" s="186"/>
      <c r="DG202" s="186"/>
      <c r="DH202" s="186"/>
      <c r="DI202" s="186"/>
      <c r="DJ202" s="186"/>
      <c r="DK202" s="186"/>
      <c r="DL202" s="186"/>
      <c r="DM202" s="186"/>
      <c r="DN202" s="186"/>
      <c r="DO202" s="47"/>
      <c r="DP202" s="19"/>
      <c r="DQ202" s="19"/>
      <c r="DR202" s="19"/>
      <c r="DS202" s="12"/>
      <c r="DT202" s="13"/>
    </row>
    <row r="203" spans="1:124" ht="5.0999999999999996" customHeight="1">
      <c r="A203" s="12"/>
      <c r="B203" s="18"/>
      <c r="C203" s="19"/>
      <c r="D203" s="19"/>
      <c r="E203" s="19"/>
      <c r="F203" s="46"/>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c r="CH203" s="31"/>
      <c r="CI203" s="31"/>
      <c r="CJ203" s="31"/>
      <c r="CK203" s="31"/>
      <c r="CL203" s="31"/>
      <c r="CM203" s="31"/>
      <c r="CN203" s="31"/>
      <c r="CO203" s="31"/>
      <c r="CP203" s="31"/>
      <c r="CQ203" s="31"/>
      <c r="CR203" s="31"/>
      <c r="CS203" s="31"/>
      <c r="CT203" s="31"/>
      <c r="CU203" s="31"/>
      <c r="CV203" s="31"/>
      <c r="CW203" s="31"/>
      <c r="CX203" s="31"/>
      <c r="CY203" s="31"/>
      <c r="CZ203" s="31"/>
      <c r="DA203" s="31"/>
      <c r="DB203" s="31"/>
      <c r="DC203" s="31"/>
      <c r="DD203" s="31"/>
      <c r="DE203" s="31"/>
      <c r="DF203" s="31"/>
      <c r="DG203" s="31"/>
      <c r="DH203" s="31"/>
      <c r="DI203" s="31"/>
      <c r="DJ203" s="31"/>
      <c r="DK203" s="31"/>
      <c r="DL203" s="31"/>
      <c r="DM203" s="31"/>
      <c r="DN203" s="31"/>
      <c r="DO203" s="47"/>
      <c r="DP203" s="19"/>
      <c r="DQ203" s="19"/>
      <c r="DR203" s="19"/>
      <c r="DS203" s="12"/>
      <c r="DT203" s="13"/>
    </row>
    <row r="204" spans="1:124" ht="39.950000000000003" customHeight="1">
      <c r="A204" s="12"/>
      <c r="B204" s="18"/>
      <c r="C204" s="19"/>
      <c r="D204" s="19"/>
      <c r="E204" s="19"/>
      <c r="F204" s="46"/>
      <c r="G204" s="187" t="s">
        <v>1078</v>
      </c>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c r="AJ204" s="187"/>
      <c r="AK204" s="187"/>
      <c r="AL204" s="187"/>
      <c r="AM204" s="187"/>
      <c r="AN204" s="187"/>
      <c r="AO204" s="187"/>
      <c r="AP204" s="187"/>
      <c r="AQ204" s="42"/>
      <c r="AR204" s="42"/>
      <c r="AS204" s="187" t="s">
        <v>1078</v>
      </c>
      <c r="AT204" s="187"/>
      <c r="AU204" s="187"/>
      <c r="AV204" s="187"/>
      <c r="AW204" s="187"/>
      <c r="AX204" s="187"/>
      <c r="AY204" s="187"/>
      <c r="AZ204" s="187"/>
      <c r="BA204" s="187"/>
      <c r="BB204" s="187"/>
      <c r="BC204" s="187"/>
      <c r="BD204" s="187"/>
      <c r="BE204" s="187"/>
      <c r="BF204" s="187"/>
      <c r="BG204" s="187"/>
      <c r="BH204" s="187"/>
      <c r="BI204" s="187"/>
      <c r="BJ204" s="187"/>
      <c r="BK204" s="187"/>
      <c r="BL204" s="187"/>
      <c r="BM204" s="187"/>
      <c r="BN204" s="187"/>
      <c r="BO204" s="187"/>
      <c r="BP204" s="187"/>
      <c r="BQ204" s="187"/>
      <c r="BR204" s="187"/>
      <c r="BS204" s="187"/>
      <c r="BT204" s="187"/>
      <c r="BU204" s="187"/>
      <c r="BV204" s="187"/>
      <c r="BW204" s="187"/>
      <c r="BX204" s="187"/>
      <c r="BY204" s="187"/>
      <c r="BZ204" s="187"/>
      <c r="CA204" s="187"/>
      <c r="CB204" s="42"/>
      <c r="CC204" s="188" t="s">
        <v>1079</v>
      </c>
      <c r="CD204" s="188"/>
      <c r="CE204" s="188"/>
      <c r="CF204" s="188"/>
      <c r="CG204" s="188"/>
      <c r="CH204" s="188"/>
      <c r="CI204" s="188"/>
      <c r="CJ204" s="188"/>
      <c r="CK204" s="188"/>
      <c r="CL204" s="188"/>
      <c r="CM204" s="188"/>
      <c r="CN204" s="188"/>
      <c r="CO204" s="188"/>
      <c r="CP204" s="188"/>
      <c r="CQ204" s="188"/>
      <c r="CR204" s="188"/>
      <c r="CS204" s="188"/>
      <c r="CT204" s="188"/>
      <c r="CU204" s="188"/>
      <c r="CV204" s="188"/>
      <c r="CW204" s="188"/>
      <c r="CX204" s="188"/>
      <c r="CY204" s="188"/>
      <c r="CZ204" s="188"/>
      <c r="DA204" s="188"/>
      <c r="DB204" s="188"/>
      <c r="DC204" s="188"/>
      <c r="DD204" s="188"/>
      <c r="DE204" s="188"/>
      <c r="DF204" s="188"/>
      <c r="DG204" s="188"/>
      <c r="DH204" s="188"/>
      <c r="DI204" s="188"/>
      <c r="DJ204" s="188"/>
      <c r="DK204" s="188"/>
      <c r="DL204" s="188"/>
      <c r="DM204" s="188"/>
      <c r="DN204" s="188"/>
      <c r="DO204" s="47"/>
      <c r="DP204" s="19"/>
      <c r="DQ204" s="19"/>
      <c r="DR204" s="19"/>
      <c r="DS204" s="12"/>
      <c r="DT204" s="13"/>
    </row>
    <row r="205" spans="1:124" ht="5.0999999999999996" customHeight="1">
      <c r="A205" s="12"/>
      <c r="B205" s="18"/>
      <c r="C205" s="19"/>
      <c r="D205" s="19"/>
      <c r="E205" s="19"/>
      <c r="F205" s="46"/>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68"/>
      <c r="CE205" s="68"/>
      <c r="CF205" s="68"/>
      <c r="CG205" s="68"/>
      <c r="CH205" s="68"/>
      <c r="CI205" s="68"/>
      <c r="CJ205" s="68"/>
      <c r="CK205" s="68"/>
      <c r="CL205" s="68"/>
      <c r="CM205" s="68"/>
      <c r="CN205" s="68"/>
      <c r="CO205" s="68"/>
      <c r="CP205" s="68"/>
      <c r="CQ205" s="68"/>
      <c r="CR205" s="68"/>
      <c r="CS205" s="68"/>
      <c r="CT205" s="68"/>
      <c r="CU205" s="68"/>
      <c r="CV205" s="68"/>
      <c r="CW205" s="68"/>
      <c r="CX205" s="68"/>
      <c r="CY205" s="68"/>
      <c r="CZ205" s="68"/>
      <c r="DA205" s="68"/>
      <c r="DB205" s="68"/>
      <c r="DC205" s="68"/>
      <c r="DD205" s="68"/>
      <c r="DE205" s="68"/>
      <c r="DF205" s="68"/>
      <c r="DG205" s="68"/>
      <c r="DH205" s="68"/>
      <c r="DI205" s="68"/>
      <c r="DJ205" s="68"/>
      <c r="DK205" s="68"/>
      <c r="DL205" s="68"/>
      <c r="DM205" s="68"/>
      <c r="DN205" s="68"/>
      <c r="DO205" s="47"/>
      <c r="DP205" s="19"/>
      <c r="DQ205" s="19"/>
      <c r="DR205" s="19"/>
      <c r="DS205" s="12"/>
      <c r="DT205" s="13"/>
    </row>
    <row r="206" spans="1:124" ht="39.950000000000003" customHeight="1">
      <c r="A206" s="12"/>
      <c r="B206" s="18"/>
      <c r="C206" s="19"/>
      <c r="D206" s="19"/>
      <c r="E206" s="19"/>
      <c r="F206" s="46"/>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187"/>
      <c r="AG206" s="187"/>
      <c r="AH206" s="187"/>
      <c r="AI206" s="187"/>
      <c r="AJ206" s="187"/>
      <c r="AK206" s="187"/>
      <c r="AL206" s="187"/>
      <c r="AM206" s="187"/>
      <c r="AN206" s="187"/>
      <c r="AO206" s="187"/>
      <c r="AP206" s="187"/>
      <c r="AQ206" s="42"/>
      <c r="AR206" s="42"/>
      <c r="AS206" s="187"/>
      <c r="AT206" s="187"/>
      <c r="AU206" s="187"/>
      <c r="AV206" s="187"/>
      <c r="AW206" s="187"/>
      <c r="AX206" s="187"/>
      <c r="AY206" s="187"/>
      <c r="AZ206" s="187"/>
      <c r="BA206" s="187"/>
      <c r="BB206" s="187"/>
      <c r="BC206" s="187"/>
      <c r="BD206" s="187"/>
      <c r="BE206" s="187"/>
      <c r="BF206" s="187"/>
      <c r="BG206" s="187"/>
      <c r="BH206" s="187"/>
      <c r="BI206" s="187"/>
      <c r="BJ206" s="187"/>
      <c r="BK206" s="187"/>
      <c r="BL206" s="187"/>
      <c r="BM206" s="187"/>
      <c r="BN206" s="187"/>
      <c r="BO206" s="187"/>
      <c r="BP206" s="187"/>
      <c r="BQ206" s="187"/>
      <c r="BR206" s="187"/>
      <c r="BS206" s="187"/>
      <c r="BT206" s="187"/>
      <c r="BU206" s="187"/>
      <c r="BV206" s="187"/>
      <c r="BW206" s="187"/>
      <c r="BX206" s="187"/>
      <c r="BY206" s="187"/>
      <c r="BZ206" s="187"/>
      <c r="CA206" s="187"/>
      <c r="CB206" s="42"/>
      <c r="CC206" s="188" t="s">
        <v>1080</v>
      </c>
      <c r="CD206" s="188"/>
      <c r="CE206" s="188"/>
      <c r="CF206" s="188"/>
      <c r="CG206" s="188"/>
      <c r="CH206" s="188"/>
      <c r="CI206" s="188"/>
      <c r="CJ206" s="188"/>
      <c r="CK206" s="188"/>
      <c r="CL206" s="188"/>
      <c r="CM206" s="188"/>
      <c r="CN206" s="188"/>
      <c r="CO206" s="188"/>
      <c r="CP206" s="188"/>
      <c r="CQ206" s="188"/>
      <c r="CR206" s="188"/>
      <c r="CS206" s="188"/>
      <c r="CT206" s="188"/>
      <c r="CU206" s="188"/>
      <c r="CV206" s="188"/>
      <c r="CW206" s="188"/>
      <c r="CX206" s="188"/>
      <c r="CY206" s="188"/>
      <c r="CZ206" s="188"/>
      <c r="DA206" s="188"/>
      <c r="DB206" s="188"/>
      <c r="DC206" s="188"/>
      <c r="DD206" s="188"/>
      <c r="DE206" s="188"/>
      <c r="DF206" s="188"/>
      <c r="DG206" s="188"/>
      <c r="DH206" s="188"/>
      <c r="DI206" s="188"/>
      <c r="DJ206" s="188"/>
      <c r="DK206" s="188"/>
      <c r="DL206" s="188"/>
      <c r="DM206" s="188"/>
      <c r="DN206" s="188"/>
      <c r="DO206" s="47"/>
      <c r="DP206" s="19"/>
      <c r="DQ206" s="19"/>
      <c r="DR206" s="19"/>
      <c r="DS206" s="12"/>
      <c r="DT206" s="13"/>
    </row>
    <row r="207" spans="1:124" ht="5.0999999999999996" customHeight="1">
      <c r="A207" s="12"/>
      <c r="B207" s="18"/>
      <c r="C207" s="19"/>
      <c r="D207" s="19"/>
      <c r="E207" s="19"/>
      <c r="F207" s="46"/>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c r="BX207" s="31"/>
      <c r="BY207" s="31"/>
      <c r="BZ207" s="31"/>
      <c r="CA207" s="31"/>
      <c r="CB207" s="31"/>
      <c r="CC207" s="31"/>
      <c r="CD207" s="68"/>
      <c r="CE207" s="68"/>
      <c r="CF207" s="68"/>
      <c r="CG207" s="68"/>
      <c r="CH207" s="68"/>
      <c r="CI207" s="68"/>
      <c r="CJ207" s="68"/>
      <c r="CK207" s="68"/>
      <c r="CL207" s="68"/>
      <c r="CM207" s="68"/>
      <c r="CN207" s="68"/>
      <c r="CO207" s="68"/>
      <c r="CP207" s="68"/>
      <c r="CQ207" s="68"/>
      <c r="CR207" s="68"/>
      <c r="CS207" s="68"/>
      <c r="CT207" s="68"/>
      <c r="CU207" s="68"/>
      <c r="CV207" s="68"/>
      <c r="CW207" s="68"/>
      <c r="CX207" s="68"/>
      <c r="CY207" s="68"/>
      <c r="CZ207" s="68"/>
      <c r="DA207" s="68"/>
      <c r="DB207" s="68"/>
      <c r="DC207" s="68"/>
      <c r="DD207" s="68"/>
      <c r="DE207" s="68"/>
      <c r="DF207" s="68"/>
      <c r="DG207" s="68"/>
      <c r="DH207" s="68"/>
      <c r="DI207" s="68"/>
      <c r="DJ207" s="68"/>
      <c r="DK207" s="68"/>
      <c r="DL207" s="68"/>
      <c r="DM207" s="68"/>
      <c r="DN207" s="68"/>
      <c r="DO207" s="47"/>
      <c r="DP207" s="19"/>
      <c r="DQ207" s="19"/>
      <c r="DR207" s="19"/>
      <c r="DS207" s="12"/>
      <c r="DT207" s="13"/>
    </row>
    <row r="208" spans="1:124" ht="39.950000000000003" customHeight="1">
      <c r="A208" s="12"/>
      <c r="B208" s="18"/>
      <c r="C208" s="19"/>
      <c r="D208" s="19"/>
      <c r="E208" s="19"/>
      <c r="F208" s="46"/>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187"/>
      <c r="AH208" s="187"/>
      <c r="AI208" s="187"/>
      <c r="AJ208" s="187"/>
      <c r="AK208" s="187"/>
      <c r="AL208" s="187"/>
      <c r="AM208" s="187"/>
      <c r="AN208" s="187"/>
      <c r="AO208" s="187"/>
      <c r="AP208" s="187"/>
      <c r="AQ208" s="42"/>
      <c r="AR208" s="42"/>
      <c r="AS208" s="187"/>
      <c r="AT208" s="187"/>
      <c r="AU208" s="187"/>
      <c r="AV208" s="187"/>
      <c r="AW208" s="187"/>
      <c r="AX208" s="187"/>
      <c r="AY208" s="187"/>
      <c r="AZ208" s="187"/>
      <c r="BA208" s="187"/>
      <c r="BB208" s="187"/>
      <c r="BC208" s="187"/>
      <c r="BD208" s="187"/>
      <c r="BE208" s="187"/>
      <c r="BF208" s="187"/>
      <c r="BG208" s="187"/>
      <c r="BH208" s="187"/>
      <c r="BI208" s="187"/>
      <c r="BJ208" s="187"/>
      <c r="BK208" s="187"/>
      <c r="BL208" s="187"/>
      <c r="BM208" s="187"/>
      <c r="BN208" s="187"/>
      <c r="BO208" s="187"/>
      <c r="BP208" s="187"/>
      <c r="BQ208" s="187"/>
      <c r="BR208" s="187"/>
      <c r="BS208" s="187"/>
      <c r="BT208" s="187"/>
      <c r="BU208" s="187"/>
      <c r="BV208" s="187"/>
      <c r="BW208" s="187"/>
      <c r="BX208" s="187"/>
      <c r="BY208" s="187"/>
      <c r="BZ208" s="187"/>
      <c r="CA208" s="187"/>
      <c r="CB208" s="42"/>
      <c r="CC208" s="188" t="s">
        <v>1081</v>
      </c>
      <c r="CD208" s="188"/>
      <c r="CE208" s="188"/>
      <c r="CF208" s="188"/>
      <c r="CG208" s="188"/>
      <c r="CH208" s="188"/>
      <c r="CI208" s="188"/>
      <c r="CJ208" s="188"/>
      <c r="CK208" s="188"/>
      <c r="CL208" s="188"/>
      <c r="CM208" s="188"/>
      <c r="CN208" s="188"/>
      <c r="CO208" s="188"/>
      <c r="CP208" s="188"/>
      <c r="CQ208" s="188"/>
      <c r="CR208" s="188"/>
      <c r="CS208" s="188"/>
      <c r="CT208" s="188"/>
      <c r="CU208" s="188"/>
      <c r="CV208" s="188"/>
      <c r="CW208" s="188"/>
      <c r="CX208" s="188"/>
      <c r="CY208" s="188"/>
      <c r="CZ208" s="188"/>
      <c r="DA208" s="188"/>
      <c r="DB208" s="188"/>
      <c r="DC208" s="188"/>
      <c r="DD208" s="188"/>
      <c r="DE208" s="188"/>
      <c r="DF208" s="188"/>
      <c r="DG208" s="188"/>
      <c r="DH208" s="188"/>
      <c r="DI208" s="188"/>
      <c r="DJ208" s="188"/>
      <c r="DK208" s="188"/>
      <c r="DL208" s="188"/>
      <c r="DM208" s="188"/>
      <c r="DN208" s="188"/>
      <c r="DO208" s="47"/>
      <c r="DP208" s="19"/>
      <c r="DQ208" s="19"/>
      <c r="DR208" s="19"/>
      <c r="DS208" s="12"/>
      <c r="DT208" s="13"/>
    </row>
    <row r="209" spans="1:124" ht="5.0999999999999996" customHeight="1">
      <c r="A209" s="12"/>
      <c r="B209" s="18"/>
      <c r="C209" s="19"/>
      <c r="D209" s="19"/>
      <c r="E209" s="19"/>
      <c r="F209" s="48"/>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50"/>
      <c r="DP209" s="19"/>
      <c r="DQ209" s="19"/>
      <c r="DR209" s="19"/>
      <c r="DS209" s="12"/>
      <c r="DT209" s="13"/>
    </row>
    <row r="210" spans="1:124" ht="15" customHeight="1">
      <c r="A210" s="12"/>
      <c r="B210" s="18"/>
      <c r="C210" s="19"/>
      <c r="D210" s="19"/>
      <c r="E210" s="19"/>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c r="BI210" s="71"/>
      <c r="BJ210" s="71"/>
      <c r="BK210" s="71"/>
      <c r="BL210" s="71"/>
      <c r="BM210" s="71"/>
      <c r="BN210" s="71"/>
      <c r="BO210" s="71"/>
      <c r="BP210" s="71"/>
      <c r="BQ210" s="71"/>
      <c r="BR210" s="71"/>
      <c r="BS210" s="71"/>
      <c r="BT210" s="71"/>
      <c r="BU210" s="71"/>
      <c r="BV210" s="71"/>
      <c r="BW210" s="71"/>
      <c r="BX210" s="71"/>
      <c r="BY210" s="71"/>
      <c r="BZ210" s="71"/>
      <c r="CA210" s="71"/>
      <c r="CB210" s="71"/>
      <c r="CC210" s="71"/>
      <c r="CD210" s="71"/>
      <c r="CE210" s="71"/>
      <c r="CF210" s="71"/>
      <c r="CG210" s="71"/>
      <c r="CH210" s="71"/>
      <c r="CI210" s="71"/>
      <c r="CJ210" s="71"/>
      <c r="CK210" s="71"/>
      <c r="CL210" s="71"/>
      <c r="CM210" s="71"/>
      <c r="CN210" s="71"/>
      <c r="CO210" s="71"/>
      <c r="CP210" s="71"/>
      <c r="CQ210" s="71"/>
      <c r="CR210" s="71"/>
      <c r="CS210" s="71"/>
      <c r="CT210" s="71"/>
      <c r="CU210" s="71"/>
      <c r="CV210" s="71"/>
      <c r="CW210" s="71"/>
      <c r="CX210" s="71"/>
      <c r="CY210" s="71"/>
      <c r="CZ210" s="71"/>
      <c r="DA210" s="71"/>
      <c r="DB210" s="71"/>
      <c r="DC210" s="71"/>
      <c r="DD210" s="71"/>
      <c r="DE210" s="71"/>
      <c r="DF210" s="71"/>
      <c r="DG210" s="71"/>
      <c r="DH210" s="71"/>
      <c r="DI210" s="71"/>
      <c r="DJ210" s="71"/>
      <c r="DK210" s="71"/>
      <c r="DL210" s="71"/>
      <c r="DM210" s="71"/>
      <c r="DN210" s="71"/>
      <c r="DO210" s="71"/>
      <c r="DP210" s="19"/>
      <c r="DQ210" s="19"/>
      <c r="DR210" s="19"/>
      <c r="DS210" s="12"/>
      <c r="DT210" s="13"/>
    </row>
    <row r="211" spans="1:124" ht="5.0999999999999996" customHeight="1">
      <c r="DS211" s="12"/>
    </row>
    <row r="212" spans="1:124" ht="5.0999999999999996" customHeight="1">
      <c r="DS212" s="12"/>
    </row>
    <row r="213" spans="1:124" s="5" customFormat="1" ht="15" customHeight="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c r="CA213" s="12"/>
      <c r="CB213" s="12"/>
      <c r="CC213" s="12"/>
      <c r="CD213" s="12"/>
      <c r="CE213" s="12"/>
      <c r="CF213" s="12"/>
      <c r="CG213" s="12"/>
      <c r="CH213" s="12"/>
      <c r="CI213" s="12"/>
      <c r="CJ213" s="12"/>
      <c r="CK213" s="12"/>
      <c r="CL213" s="12"/>
      <c r="CM213" s="12"/>
      <c r="CN213" s="12"/>
      <c r="CO213" s="12"/>
      <c r="CP213" s="12"/>
      <c r="CQ213" s="12"/>
      <c r="CR213" s="12"/>
      <c r="CS213" s="12"/>
      <c r="CT213" s="12"/>
      <c r="CU213" s="12"/>
      <c r="CV213" s="12"/>
      <c r="CW213" s="12"/>
      <c r="CX213" s="12"/>
      <c r="CY213" s="12"/>
      <c r="CZ213" s="12"/>
      <c r="DA213" s="12"/>
      <c r="DB213" s="12"/>
      <c r="DC213" s="12"/>
      <c r="DD213" s="12"/>
      <c r="DE213" s="12"/>
      <c r="DF213" s="12"/>
      <c r="DG213" s="12"/>
      <c r="DH213" s="12"/>
      <c r="DI213" s="12"/>
      <c r="DJ213" s="12"/>
      <c r="DK213" s="12"/>
      <c r="DL213" s="12"/>
      <c r="DM213" s="12"/>
      <c r="DN213" s="12"/>
      <c r="DO213" s="12"/>
      <c r="DP213" s="12"/>
      <c r="DQ213" s="12"/>
      <c r="DR213" s="12"/>
      <c r="DS213" s="12"/>
      <c r="DT213" s="12"/>
    </row>
    <row r="214" spans="1:124" s="5" customFormat="1" ht="39.950000000000003" customHeight="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c r="CA214" s="12"/>
      <c r="CB214" s="12"/>
      <c r="CC214" s="12"/>
      <c r="CD214" s="12"/>
      <c r="CE214" s="12"/>
      <c r="CF214" s="12"/>
      <c r="CG214" s="12"/>
      <c r="CH214" s="12"/>
      <c r="CI214" s="12"/>
      <c r="CJ214" s="12"/>
      <c r="CK214" s="12"/>
      <c r="CL214" s="12"/>
      <c r="CM214" s="12"/>
      <c r="CN214" s="12"/>
      <c r="CO214" s="12"/>
      <c r="CP214" s="12"/>
      <c r="CQ214" s="12"/>
      <c r="CR214" s="12"/>
      <c r="CS214" s="12"/>
      <c r="CT214" s="12"/>
      <c r="CU214" s="12"/>
      <c r="CV214" s="12"/>
      <c r="CW214" s="12"/>
      <c r="CX214" s="12"/>
      <c r="CY214" s="12"/>
      <c r="CZ214" s="12"/>
      <c r="DA214" s="12"/>
      <c r="DB214" s="12"/>
      <c r="DC214" s="12"/>
      <c r="DD214" s="12"/>
      <c r="DE214" s="12"/>
      <c r="DF214" s="12"/>
      <c r="DG214" s="12"/>
      <c r="DH214" s="12"/>
      <c r="DI214" s="12"/>
      <c r="DJ214" s="12"/>
      <c r="DK214" s="12"/>
      <c r="DL214" s="12"/>
      <c r="DM214" s="12"/>
      <c r="DN214" s="12"/>
      <c r="DO214" s="12"/>
      <c r="DP214" s="12"/>
      <c r="DQ214" s="12"/>
      <c r="DR214" s="12"/>
      <c r="DS214" s="12"/>
      <c r="DT214" s="12"/>
    </row>
    <row r="215" spans="1:124" s="5" customFormat="1" ht="5.0999999999999996" customHeight="1">
      <c r="B215" s="12"/>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19"/>
      <c r="DA215" s="19"/>
      <c r="DB215" s="19"/>
      <c r="DC215" s="19"/>
      <c r="DD215" s="19"/>
      <c r="DE215" s="19"/>
      <c r="DF215" s="19"/>
      <c r="DG215" s="19"/>
      <c r="DH215" s="19"/>
      <c r="DI215" s="19"/>
      <c r="DJ215" s="19"/>
      <c r="DK215" s="19"/>
      <c r="DL215" s="19"/>
      <c r="DM215" s="19"/>
      <c r="DN215" s="19"/>
      <c r="DO215" s="19"/>
      <c r="DP215" s="19"/>
      <c r="DQ215" s="19"/>
      <c r="DR215" s="19"/>
      <c r="DS215" s="12"/>
      <c r="DT215" s="12"/>
    </row>
    <row r="216" spans="1:124" ht="15" customHeight="1">
      <c r="A216" s="12"/>
      <c r="B216" s="18"/>
      <c r="C216" s="19"/>
      <c r="D216" s="19"/>
      <c r="E216" s="19"/>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c r="CH216" s="51"/>
      <c r="CI216" s="51"/>
      <c r="CJ216" s="51"/>
      <c r="CK216" s="51"/>
      <c r="CL216" s="51"/>
      <c r="CM216" s="51"/>
      <c r="CN216" s="51"/>
      <c r="CO216" s="51"/>
      <c r="CP216" s="51"/>
      <c r="CQ216" s="51"/>
      <c r="CR216" s="51"/>
      <c r="CS216" s="51"/>
      <c r="CT216" s="51"/>
      <c r="CU216" s="51"/>
      <c r="CV216" s="51"/>
      <c r="CW216" s="51"/>
      <c r="CX216" s="51"/>
      <c r="CY216" s="51"/>
      <c r="CZ216" s="51"/>
      <c r="DA216" s="51"/>
      <c r="DB216" s="51"/>
      <c r="DC216" s="51"/>
      <c r="DD216" s="51"/>
      <c r="DE216" s="51"/>
      <c r="DF216" s="51"/>
      <c r="DG216" s="51"/>
      <c r="DH216" s="51"/>
      <c r="DI216" s="51"/>
      <c r="DJ216" s="51"/>
      <c r="DK216" s="51"/>
      <c r="DL216" s="51"/>
      <c r="DM216" s="51"/>
      <c r="DN216" s="51"/>
      <c r="DO216" s="51"/>
      <c r="DP216" s="19"/>
      <c r="DQ216" s="19"/>
      <c r="DR216" s="19"/>
      <c r="DS216" s="12"/>
      <c r="DT216" s="13"/>
    </row>
    <row r="217" spans="1:124" ht="5.0999999999999996" customHeight="1">
      <c r="A217" s="12"/>
      <c r="B217" s="18"/>
      <c r="C217" s="19"/>
      <c r="D217" s="19"/>
      <c r="E217" s="19"/>
      <c r="F217" s="43"/>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c r="CJ217" s="44"/>
      <c r="CK217" s="44"/>
      <c r="CL217" s="44"/>
      <c r="CM217" s="44"/>
      <c r="CN217" s="44"/>
      <c r="CO217" s="44"/>
      <c r="CP217" s="44"/>
      <c r="CQ217" s="44"/>
      <c r="CR217" s="44"/>
      <c r="CS217" s="44"/>
      <c r="CT217" s="44"/>
      <c r="CU217" s="44"/>
      <c r="CV217" s="44"/>
      <c r="CW217" s="44"/>
      <c r="CX217" s="44"/>
      <c r="CY217" s="44"/>
      <c r="CZ217" s="44"/>
      <c r="DA217" s="44"/>
      <c r="DB217" s="44"/>
      <c r="DC217" s="44"/>
      <c r="DD217" s="44"/>
      <c r="DE217" s="44"/>
      <c r="DF217" s="44"/>
      <c r="DG217" s="44"/>
      <c r="DH217" s="44"/>
      <c r="DI217" s="44"/>
      <c r="DJ217" s="44"/>
      <c r="DK217" s="44"/>
      <c r="DL217" s="44"/>
      <c r="DM217" s="44"/>
      <c r="DN217" s="44"/>
      <c r="DO217" s="45"/>
      <c r="DP217" s="19"/>
      <c r="DQ217" s="19"/>
      <c r="DR217" s="19"/>
      <c r="DS217" s="12"/>
      <c r="DT217" s="13"/>
    </row>
    <row r="218" spans="1:124" ht="39.950000000000003" customHeight="1">
      <c r="A218" s="12"/>
      <c r="B218" s="18"/>
      <c r="C218" s="19"/>
      <c r="D218" s="19"/>
      <c r="E218" s="19"/>
      <c r="F218" s="46"/>
      <c r="G218" s="186" t="s">
        <v>1082</v>
      </c>
      <c r="H218" s="186"/>
      <c r="I218" s="186"/>
      <c r="J218" s="186"/>
      <c r="K218" s="186"/>
      <c r="L218" s="186"/>
      <c r="M218" s="186"/>
      <c r="N218" s="186"/>
      <c r="O218" s="186"/>
      <c r="P218" s="186"/>
      <c r="Q218" s="186"/>
      <c r="R218" s="186"/>
      <c r="S218" s="186"/>
      <c r="T218" s="186"/>
      <c r="U218" s="186"/>
      <c r="V218" s="186"/>
      <c r="W218" s="186"/>
      <c r="X218" s="186"/>
      <c r="Y218" s="186"/>
      <c r="Z218" s="186"/>
      <c r="AA218" s="186"/>
      <c r="AB218" s="186"/>
      <c r="AC218" s="186"/>
      <c r="AD218" s="186"/>
      <c r="AE218" s="186"/>
      <c r="AF218" s="186"/>
      <c r="AG218" s="186"/>
      <c r="AH218" s="186"/>
      <c r="AI218" s="186"/>
      <c r="AJ218" s="186"/>
      <c r="AK218" s="186"/>
      <c r="AL218" s="186"/>
      <c r="AM218" s="186"/>
      <c r="AN218" s="186"/>
      <c r="AO218" s="186"/>
      <c r="AP218" s="186"/>
      <c r="AQ218" s="42"/>
      <c r="AR218" s="42"/>
      <c r="AS218" s="186" t="s">
        <v>1083</v>
      </c>
      <c r="AT218" s="186"/>
      <c r="AU218" s="186"/>
      <c r="AV218" s="186"/>
      <c r="AW218" s="186"/>
      <c r="AX218" s="186"/>
      <c r="AY218" s="186"/>
      <c r="AZ218" s="186"/>
      <c r="BA218" s="186"/>
      <c r="BB218" s="186"/>
      <c r="BC218" s="186"/>
      <c r="BD218" s="186"/>
      <c r="BE218" s="186"/>
      <c r="BF218" s="186"/>
      <c r="BG218" s="186"/>
      <c r="BH218" s="186"/>
      <c r="BI218" s="186"/>
      <c r="BJ218" s="186"/>
      <c r="BK218" s="186"/>
      <c r="BL218" s="186"/>
      <c r="BM218" s="186"/>
      <c r="BN218" s="186"/>
      <c r="BO218" s="186"/>
      <c r="BP218" s="186"/>
      <c r="BQ218" s="186"/>
      <c r="BR218" s="186"/>
      <c r="BS218" s="186"/>
      <c r="BT218" s="186"/>
      <c r="BU218" s="186"/>
      <c r="BV218" s="186"/>
      <c r="BW218" s="186"/>
      <c r="BX218" s="186"/>
      <c r="BY218" s="186"/>
      <c r="BZ218" s="186"/>
      <c r="CA218" s="186"/>
      <c r="CB218" s="42"/>
      <c r="CC218" s="186" t="s">
        <v>1084</v>
      </c>
      <c r="CD218" s="186"/>
      <c r="CE218" s="186"/>
      <c r="CF218" s="186"/>
      <c r="CG218" s="186"/>
      <c r="CH218" s="186"/>
      <c r="CI218" s="186"/>
      <c r="CJ218" s="186"/>
      <c r="CK218" s="186"/>
      <c r="CL218" s="186"/>
      <c r="CM218" s="186"/>
      <c r="CN218" s="186"/>
      <c r="CO218" s="186"/>
      <c r="CP218" s="186"/>
      <c r="CQ218" s="186"/>
      <c r="CR218" s="186"/>
      <c r="CS218" s="186"/>
      <c r="CT218" s="186"/>
      <c r="CU218" s="186"/>
      <c r="CV218" s="186"/>
      <c r="CW218" s="186"/>
      <c r="CX218" s="186"/>
      <c r="CY218" s="186"/>
      <c r="CZ218" s="186"/>
      <c r="DA218" s="186"/>
      <c r="DB218" s="186"/>
      <c r="DC218" s="186"/>
      <c r="DD218" s="186"/>
      <c r="DE218" s="186"/>
      <c r="DF218" s="186"/>
      <c r="DG218" s="186"/>
      <c r="DH218" s="186"/>
      <c r="DI218" s="186"/>
      <c r="DJ218" s="186"/>
      <c r="DK218" s="186"/>
      <c r="DL218" s="186"/>
      <c r="DM218" s="186"/>
      <c r="DN218" s="186"/>
      <c r="DO218" s="47"/>
      <c r="DP218" s="19"/>
      <c r="DQ218" s="19"/>
      <c r="DR218" s="19"/>
      <c r="DS218" s="12"/>
      <c r="DT218" s="13"/>
    </row>
    <row r="219" spans="1:124" ht="5.0999999999999996" customHeight="1">
      <c r="A219" s="12"/>
      <c r="B219" s="18"/>
      <c r="C219" s="19"/>
      <c r="D219" s="19"/>
      <c r="E219" s="19"/>
      <c r="F219" s="46"/>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c r="CH219" s="31"/>
      <c r="CI219" s="31"/>
      <c r="CJ219" s="31"/>
      <c r="CK219" s="31"/>
      <c r="CL219" s="31"/>
      <c r="CM219" s="31"/>
      <c r="CN219" s="31"/>
      <c r="CO219" s="31"/>
      <c r="CP219" s="31"/>
      <c r="CQ219" s="31"/>
      <c r="CR219" s="31"/>
      <c r="CS219" s="31"/>
      <c r="CT219" s="31"/>
      <c r="CU219" s="31"/>
      <c r="CV219" s="31"/>
      <c r="CW219" s="31"/>
      <c r="CX219" s="31"/>
      <c r="CY219" s="31"/>
      <c r="CZ219" s="31"/>
      <c r="DA219" s="31"/>
      <c r="DB219" s="31"/>
      <c r="DC219" s="31"/>
      <c r="DD219" s="31"/>
      <c r="DE219" s="31"/>
      <c r="DF219" s="31"/>
      <c r="DG219" s="31"/>
      <c r="DH219" s="31"/>
      <c r="DI219" s="31"/>
      <c r="DJ219" s="31"/>
      <c r="DK219" s="31"/>
      <c r="DL219" s="31"/>
      <c r="DM219" s="31"/>
      <c r="DN219" s="31"/>
      <c r="DO219" s="47"/>
      <c r="DP219" s="19"/>
      <c r="DQ219" s="19"/>
      <c r="DR219" s="19"/>
      <c r="DS219" s="12"/>
      <c r="DT219" s="13"/>
    </row>
    <row r="220" spans="1:124" ht="39.950000000000003" customHeight="1">
      <c r="A220" s="12"/>
      <c r="B220" s="18"/>
      <c r="C220" s="19"/>
      <c r="D220" s="19"/>
      <c r="E220" s="19"/>
      <c r="F220" s="46"/>
      <c r="G220" s="193" t="s">
        <v>1085</v>
      </c>
      <c r="H220" s="193"/>
      <c r="I220" s="193"/>
      <c r="J220" s="193"/>
      <c r="K220" s="193"/>
      <c r="L220" s="193"/>
      <c r="M220" s="193"/>
      <c r="N220" s="193"/>
      <c r="O220" s="193"/>
      <c r="P220" s="193"/>
      <c r="Q220" s="193"/>
      <c r="R220" s="193"/>
      <c r="S220" s="193"/>
      <c r="T220" s="193"/>
      <c r="U220" s="193"/>
      <c r="V220" s="193"/>
      <c r="W220" s="193"/>
      <c r="X220" s="193"/>
      <c r="Y220" s="193"/>
      <c r="Z220" s="193"/>
      <c r="AA220" s="193"/>
      <c r="AB220" s="193"/>
      <c r="AC220" s="193"/>
      <c r="AD220" s="193"/>
      <c r="AE220" s="193"/>
      <c r="AF220" s="193"/>
      <c r="AG220" s="193"/>
      <c r="AH220" s="193"/>
      <c r="AI220" s="193"/>
      <c r="AJ220" s="193"/>
      <c r="AK220" s="193"/>
      <c r="AL220" s="193"/>
      <c r="AM220" s="193"/>
      <c r="AN220" s="193"/>
      <c r="AO220" s="193"/>
      <c r="AP220" s="193"/>
      <c r="AQ220" s="42"/>
      <c r="AR220" s="42"/>
      <c r="AS220" s="193" t="s">
        <v>1086</v>
      </c>
      <c r="AT220" s="193"/>
      <c r="AU220" s="193"/>
      <c r="AV220" s="193"/>
      <c r="AW220" s="193"/>
      <c r="AX220" s="193"/>
      <c r="AY220" s="193"/>
      <c r="AZ220" s="193"/>
      <c r="BA220" s="193"/>
      <c r="BB220" s="193"/>
      <c r="BC220" s="193"/>
      <c r="BD220" s="193"/>
      <c r="BE220" s="193"/>
      <c r="BF220" s="193"/>
      <c r="BG220" s="193"/>
      <c r="BH220" s="193"/>
      <c r="BI220" s="193"/>
      <c r="BJ220" s="193"/>
      <c r="BK220" s="193"/>
      <c r="BL220" s="193"/>
      <c r="BM220" s="193"/>
      <c r="BN220" s="193"/>
      <c r="BO220" s="193"/>
      <c r="BP220" s="193"/>
      <c r="BQ220" s="193"/>
      <c r="BR220" s="193"/>
      <c r="BS220" s="193"/>
      <c r="BT220" s="193"/>
      <c r="BU220" s="193"/>
      <c r="BV220" s="193"/>
      <c r="BW220" s="193"/>
      <c r="BX220" s="193"/>
      <c r="BY220" s="193"/>
      <c r="BZ220" s="193"/>
      <c r="CA220" s="193"/>
      <c r="CB220" s="42"/>
      <c r="CC220" s="194" t="s">
        <v>1087</v>
      </c>
      <c r="CD220" s="194"/>
      <c r="CE220" s="194"/>
      <c r="CF220" s="194"/>
      <c r="CG220" s="194"/>
      <c r="CH220" s="194"/>
      <c r="CI220" s="194"/>
      <c r="CJ220" s="194"/>
      <c r="CK220" s="194"/>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47"/>
      <c r="DP220" s="19"/>
      <c r="DQ220" s="19"/>
      <c r="DR220" s="19"/>
      <c r="DS220" s="12"/>
      <c r="DT220" s="13"/>
    </row>
    <row r="221" spans="1:124" ht="5.0999999999999996" customHeight="1">
      <c r="A221" s="12"/>
      <c r="B221" s="18"/>
      <c r="C221" s="19"/>
      <c r="D221" s="19"/>
      <c r="E221" s="19"/>
      <c r="F221" s="46"/>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c r="CH221" s="31"/>
      <c r="CI221" s="31"/>
      <c r="CJ221" s="31"/>
      <c r="CK221" s="31"/>
      <c r="CL221" s="31"/>
      <c r="CM221" s="31"/>
      <c r="CN221" s="31"/>
      <c r="CO221" s="31"/>
      <c r="CP221" s="31"/>
      <c r="CQ221" s="31"/>
      <c r="CR221" s="31"/>
      <c r="CS221" s="31"/>
      <c r="CT221" s="31"/>
      <c r="CU221" s="31"/>
      <c r="CV221" s="31"/>
      <c r="CW221" s="31"/>
      <c r="CX221" s="31"/>
      <c r="CY221" s="31"/>
      <c r="CZ221" s="31"/>
      <c r="DA221" s="31"/>
      <c r="DB221" s="31"/>
      <c r="DC221" s="31"/>
      <c r="DD221" s="31"/>
      <c r="DE221" s="31"/>
      <c r="DF221" s="31"/>
      <c r="DG221" s="31"/>
      <c r="DH221" s="31"/>
      <c r="DI221" s="31"/>
      <c r="DJ221" s="31"/>
      <c r="DK221" s="31"/>
      <c r="DL221" s="31"/>
      <c r="DM221" s="31"/>
      <c r="DN221" s="31"/>
      <c r="DO221" s="47"/>
      <c r="DP221" s="19"/>
      <c r="DQ221" s="19"/>
      <c r="DR221" s="19"/>
      <c r="DS221" s="12"/>
      <c r="DT221" s="13"/>
    </row>
    <row r="222" spans="1:124" ht="39.950000000000003" customHeight="1">
      <c r="A222" s="12"/>
      <c r="B222" s="18"/>
      <c r="C222" s="19"/>
      <c r="D222" s="19"/>
      <c r="E222" s="19"/>
      <c r="F222" s="46"/>
      <c r="G222" s="193" t="s">
        <v>1088</v>
      </c>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c r="AM222" s="193"/>
      <c r="AN222" s="193"/>
      <c r="AO222" s="193"/>
      <c r="AP222" s="193"/>
      <c r="AQ222" s="42"/>
      <c r="AR222" s="42"/>
      <c r="AS222" s="193" t="s">
        <v>1086</v>
      </c>
      <c r="AT222" s="193"/>
      <c r="AU222" s="193"/>
      <c r="AV222" s="193"/>
      <c r="AW222" s="193"/>
      <c r="AX222" s="193"/>
      <c r="AY222" s="193"/>
      <c r="AZ222" s="193"/>
      <c r="BA222" s="193"/>
      <c r="BB222" s="193"/>
      <c r="BC222" s="193"/>
      <c r="BD222" s="193"/>
      <c r="BE222" s="193"/>
      <c r="BF222" s="193"/>
      <c r="BG222" s="193"/>
      <c r="BH222" s="193"/>
      <c r="BI222" s="193"/>
      <c r="BJ222" s="193"/>
      <c r="BK222" s="193"/>
      <c r="BL222" s="193"/>
      <c r="BM222" s="193"/>
      <c r="BN222" s="193"/>
      <c r="BO222" s="193"/>
      <c r="BP222" s="193"/>
      <c r="BQ222" s="193"/>
      <c r="BR222" s="193"/>
      <c r="BS222" s="193"/>
      <c r="BT222" s="193"/>
      <c r="BU222" s="193"/>
      <c r="BV222" s="193"/>
      <c r="BW222" s="193"/>
      <c r="BX222" s="193"/>
      <c r="BY222" s="193"/>
      <c r="BZ222" s="193"/>
      <c r="CA222" s="193"/>
      <c r="CB222" s="42"/>
      <c r="CC222" s="194" t="s">
        <v>1089</v>
      </c>
      <c r="CD222" s="194"/>
      <c r="CE222" s="194"/>
      <c r="CF222" s="194"/>
      <c r="CG222" s="194"/>
      <c r="CH222" s="194"/>
      <c r="CI222" s="194"/>
      <c r="CJ222" s="194"/>
      <c r="CK222" s="194"/>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47"/>
      <c r="DP222" s="19"/>
      <c r="DQ222" s="19"/>
      <c r="DR222" s="19"/>
      <c r="DS222" s="12"/>
      <c r="DT222" s="13"/>
    </row>
    <row r="223" spans="1:124" ht="5.0999999999999996" customHeight="1">
      <c r="A223" s="12"/>
      <c r="B223" s="18"/>
      <c r="C223" s="19"/>
      <c r="D223" s="19"/>
      <c r="E223" s="19"/>
      <c r="F223" s="46"/>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c r="CH223" s="31"/>
      <c r="CI223" s="31"/>
      <c r="CJ223" s="31"/>
      <c r="CK223" s="31"/>
      <c r="CL223" s="31"/>
      <c r="CM223" s="31"/>
      <c r="CN223" s="31"/>
      <c r="CO223" s="31"/>
      <c r="CP223" s="31"/>
      <c r="CQ223" s="31"/>
      <c r="CR223" s="31"/>
      <c r="CS223" s="31"/>
      <c r="CT223" s="31"/>
      <c r="CU223" s="31"/>
      <c r="CV223" s="31"/>
      <c r="CW223" s="31"/>
      <c r="CX223" s="31"/>
      <c r="CY223" s="31"/>
      <c r="CZ223" s="31"/>
      <c r="DA223" s="31"/>
      <c r="DB223" s="31"/>
      <c r="DC223" s="31"/>
      <c r="DD223" s="31"/>
      <c r="DE223" s="31"/>
      <c r="DF223" s="31"/>
      <c r="DG223" s="31"/>
      <c r="DH223" s="31"/>
      <c r="DI223" s="31"/>
      <c r="DJ223" s="31"/>
      <c r="DK223" s="31"/>
      <c r="DL223" s="31"/>
      <c r="DM223" s="31"/>
      <c r="DN223" s="31"/>
      <c r="DO223" s="47"/>
      <c r="DP223" s="19"/>
      <c r="DQ223" s="19"/>
      <c r="DR223" s="19"/>
      <c r="DS223" s="12"/>
      <c r="DT223" s="13"/>
    </row>
    <row r="224" spans="1:124" ht="39.950000000000003" customHeight="1">
      <c r="A224" s="12"/>
      <c r="B224" s="18"/>
      <c r="C224" s="19"/>
      <c r="D224" s="19"/>
      <c r="E224" s="19"/>
      <c r="F224" s="46"/>
      <c r="G224" s="193" t="s">
        <v>1090</v>
      </c>
      <c r="H224" s="193"/>
      <c r="I224" s="193"/>
      <c r="J224" s="193"/>
      <c r="K224" s="193"/>
      <c r="L224" s="193"/>
      <c r="M224" s="193"/>
      <c r="N224" s="193"/>
      <c r="O224" s="193"/>
      <c r="P224" s="193"/>
      <c r="Q224" s="193"/>
      <c r="R224" s="193"/>
      <c r="S224" s="193"/>
      <c r="T224" s="193"/>
      <c r="U224" s="193"/>
      <c r="V224" s="193"/>
      <c r="W224" s="193"/>
      <c r="X224" s="193"/>
      <c r="Y224" s="193"/>
      <c r="Z224" s="193"/>
      <c r="AA224" s="193"/>
      <c r="AB224" s="193"/>
      <c r="AC224" s="193"/>
      <c r="AD224" s="193"/>
      <c r="AE224" s="193"/>
      <c r="AF224" s="193"/>
      <c r="AG224" s="193"/>
      <c r="AH224" s="193"/>
      <c r="AI224" s="193"/>
      <c r="AJ224" s="193"/>
      <c r="AK224" s="193"/>
      <c r="AL224" s="193"/>
      <c r="AM224" s="193"/>
      <c r="AN224" s="193"/>
      <c r="AO224" s="193"/>
      <c r="AP224" s="193"/>
      <c r="AQ224" s="42"/>
      <c r="AR224" s="42"/>
      <c r="AS224" s="193" t="s">
        <v>1091</v>
      </c>
      <c r="AT224" s="193"/>
      <c r="AU224" s="193"/>
      <c r="AV224" s="193"/>
      <c r="AW224" s="193"/>
      <c r="AX224" s="193"/>
      <c r="AY224" s="193"/>
      <c r="AZ224" s="193"/>
      <c r="BA224" s="193"/>
      <c r="BB224" s="193"/>
      <c r="BC224" s="193"/>
      <c r="BD224" s="193"/>
      <c r="BE224" s="193"/>
      <c r="BF224" s="193"/>
      <c r="BG224" s="193"/>
      <c r="BH224" s="193"/>
      <c r="BI224" s="193"/>
      <c r="BJ224" s="193"/>
      <c r="BK224" s="193"/>
      <c r="BL224" s="193"/>
      <c r="BM224" s="193"/>
      <c r="BN224" s="193"/>
      <c r="BO224" s="193"/>
      <c r="BP224" s="193"/>
      <c r="BQ224" s="193"/>
      <c r="BR224" s="193"/>
      <c r="BS224" s="193"/>
      <c r="BT224" s="193"/>
      <c r="BU224" s="193"/>
      <c r="BV224" s="193"/>
      <c r="BW224" s="193"/>
      <c r="BX224" s="193"/>
      <c r="BY224" s="193"/>
      <c r="BZ224" s="193"/>
      <c r="CA224" s="193"/>
      <c r="CB224" s="42"/>
      <c r="CC224" s="194" t="s">
        <v>1092</v>
      </c>
      <c r="CD224" s="194"/>
      <c r="CE224" s="194"/>
      <c r="CF224" s="194"/>
      <c r="CG224" s="194"/>
      <c r="CH224" s="194"/>
      <c r="CI224" s="194"/>
      <c r="CJ224" s="194"/>
      <c r="CK224" s="194"/>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47"/>
      <c r="DP224" s="19"/>
      <c r="DQ224" s="19"/>
      <c r="DR224" s="19"/>
      <c r="DS224" s="12"/>
      <c r="DT224" s="13"/>
    </row>
    <row r="225" spans="1:124" ht="5.0999999999999996" customHeight="1">
      <c r="A225" s="12"/>
      <c r="B225" s="18"/>
      <c r="C225" s="19"/>
      <c r="D225" s="19"/>
      <c r="E225" s="19"/>
      <c r="F225" s="48"/>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50"/>
      <c r="DP225" s="19"/>
      <c r="DQ225" s="19"/>
      <c r="DR225" s="19"/>
      <c r="DS225" s="12"/>
      <c r="DT225" s="13"/>
    </row>
    <row r="226" spans="1:124" ht="15" customHeight="1">
      <c r="A226" s="12"/>
      <c r="B226" s="18"/>
      <c r="C226" s="19"/>
      <c r="D226" s="19"/>
      <c r="E226" s="19"/>
      <c r="F226" s="57"/>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c r="DH226" s="58"/>
      <c r="DI226" s="58"/>
      <c r="DJ226" s="58"/>
      <c r="DK226" s="58"/>
      <c r="DL226" s="58"/>
      <c r="DM226" s="58"/>
      <c r="DN226" s="58"/>
      <c r="DO226" s="19"/>
      <c r="DP226" s="19"/>
      <c r="DQ226" s="19"/>
      <c r="DR226" s="19"/>
      <c r="DS226" s="12"/>
      <c r="DT226" s="13"/>
    </row>
    <row r="227" spans="1:124" ht="5.0999999999999996" customHeight="1">
      <c r="DS227" s="12"/>
    </row>
    <row r="228" spans="1:124" ht="5.0999999999999996" customHeight="1">
      <c r="DS228" s="12"/>
    </row>
    <row r="229" spans="1:124" s="5" customFormat="1" ht="15" customHeight="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row>
    <row r="230" spans="1:124" s="5" customFormat="1" ht="39.950000000000003" customHeight="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c r="CA230" s="12"/>
      <c r="CB230" s="12"/>
      <c r="CC230" s="12"/>
      <c r="CD230" s="12"/>
      <c r="CE230" s="12"/>
      <c r="CF230" s="12"/>
      <c r="CG230" s="12"/>
      <c r="CH230" s="12"/>
      <c r="CI230" s="12"/>
      <c r="CJ230" s="12"/>
      <c r="CK230" s="12"/>
      <c r="CL230" s="12"/>
      <c r="CM230" s="12"/>
      <c r="CN230" s="12"/>
      <c r="CO230" s="12"/>
      <c r="CP230" s="12"/>
      <c r="CQ230" s="12"/>
      <c r="CR230" s="12"/>
      <c r="CS230" s="12"/>
      <c r="CT230" s="12"/>
      <c r="CU230" s="12"/>
      <c r="CV230" s="12"/>
      <c r="CW230" s="12"/>
      <c r="CX230" s="12"/>
      <c r="CY230" s="12"/>
      <c r="CZ230" s="12"/>
      <c r="DA230" s="12"/>
      <c r="DB230" s="12"/>
      <c r="DC230" s="12"/>
      <c r="DD230" s="12"/>
      <c r="DE230" s="12"/>
      <c r="DF230" s="12"/>
      <c r="DG230" s="12"/>
      <c r="DH230" s="12"/>
      <c r="DI230" s="12"/>
      <c r="DJ230" s="12"/>
      <c r="DK230" s="12"/>
      <c r="DL230" s="12"/>
      <c r="DM230" s="12"/>
      <c r="DN230" s="12"/>
      <c r="DO230" s="12"/>
      <c r="DP230" s="12"/>
      <c r="DQ230" s="12"/>
      <c r="DR230" s="12"/>
      <c r="DS230" s="12"/>
      <c r="DT230" s="12"/>
    </row>
    <row r="231" spans="1:124" ht="5.0999999999999996" customHeight="1">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c r="DH231" s="58"/>
      <c r="DI231" s="58"/>
      <c r="DJ231" s="58"/>
      <c r="DK231" s="58"/>
      <c r="DL231" s="58"/>
      <c r="DM231" s="58"/>
      <c r="DN231" s="58"/>
      <c r="DO231" s="58"/>
      <c r="DP231" s="58"/>
      <c r="DQ231" s="58"/>
      <c r="DR231" s="58"/>
    </row>
    <row r="232" spans="1:124" ht="15" customHeight="1">
      <c r="A232" s="12"/>
      <c r="B232" s="18"/>
      <c r="C232" s="19"/>
      <c r="D232" s="19"/>
      <c r="E232" s="19"/>
      <c r="F232" s="177"/>
      <c r="G232" s="177"/>
      <c r="H232" s="177"/>
      <c r="I232" s="177"/>
      <c r="J232" s="177"/>
      <c r="K232" s="177"/>
      <c r="L232" s="177"/>
      <c r="M232" s="177"/>
      <c r="N232" s="177"/>
      <c r="O232" s="177"/>
      <c r="P232" s="177"/>
      <c r="Q232" s="177"/>
      <c r="R232" s="177"/>
      <c r="S232" s="177"/>
      <c r="T232" s="177"/>
      <c r="U232" s="177"/>
      <c r="V232" s="177"/>
      <c r="W232" s="177"/>
      <c r="X232" s="177"/>
      <c r="Y232" s="177"/>
      <c r="Z232" s="177"/>
      <c r="AA232" s="177"/>
      <c r="AB232" s="177"/>
      <c r="AC232" s="177"/>
      <c r="AD232" s="177"/>
      <c r="AE232" s="177"/>
      <c r="AF232" s="177"/>
      <c r="AG232" s="177"/>
      <c r="AH232" s="177"/>
      <c r="AI232" s="177"/>
      <c r="AJ232" s="177"/>
      <c r="AK232" s="177"/>
      <c r="AL232" s="177"/>
      <c r="AM232" s="177"/>
      <c r="AN232" s="177"/>
      <c r="AO232" s="177"/>
      <c r="AP232" s="177"/>
      <c r="AQ232" s="177"/>
      <c r="AR232" s="177"/>
      <c r="AS232" s="177"/>
      <c r="AT232" s="177"/>
      <c r="AU232" s="177"/>
      <c r="AV232" s="177"/>
      <c r="AW232" s="177"/>
      <c r="AX232" s="177"/>
      <c r="AY232" s="177"/>
      <c r="AZ232" s="177"/>
      <c r="BA232" s="177"/>
      <c r="BB232" s="177"/>
      <c r="BC232" s="177"/>
      <c r="BD232" s="177"/>
      <c r="BE232" s="177"/>
      <c r="BF232" s="177"/>
      <c r="BG232" s="177"/>
      <c r="BH232" s="177"/>
      <c r="BI232" s="177"/>
      <c r="BJ232" s="177"/>
      <c r="BK232" s="177"/>
      <c r="BL232" s="177"/>
      <c r="BM232" s="177"/>
      <c r="BN232" s="177"/>
      <c r="BO232" s="177"/>
      <c r="BP232" s="177"/>
      <c r="BQ232" s="177"/>
      <c r="BR232" s="177"/>
      <c r="BS232" s="177"/>
      <c r="BT232" s="177"/>
      <c r="BU232" s="177"/>
      <c r="BV232" s="177"/>
      <c r="BW232" s="177"/>
      <c r="BX232" s="177"/>
      <c r="BY232" s="177"/>
      <c r="BZ232" s="177"/>
      <c r="CA232" s="177"/>
      <c r="CB232" s="177"/>
      <c r="CC232" s="177"/>
      <c r="CD232" s="177"/>
      <c r="CE232" s="177"/>
      <c r="CF232" s="177"/>
      <c r="CG232" s="177"/>
      <c r="CH232" s="177"/>
      <c r="CI232" s="177"/>
      <c r="CJ232" s="177"/>
      <c r="CK232" s="177"/>
      <c r="CL232" s="177"/>
      <c r="CM232" s="177"/>
      <c r="CN232" s="177"/>
      <c r="CO232" s="177"/>
      <c r="CP232" s="177"/>
      <c r="CQ232" s="177"/>
      <c r="CR232" s="177"/>
      <c r="CS232" s="177"/>
      <c r="CT232" s="177"/>
      <c r="CU232" s="177"/>
      <c r="CV232" s="177"/>
      <c r="CW232" s="177"/>
      <c r="CX232" s="177"/>
      <c r="CY232" s="177"/>
      <c r="CZ232" s="177"/>
      <c r="DA232" s="177"/>
      <c r="DB232" s="177"/>
      <c r="DC232" s="177"/>
      <c r="DD232" s="177"/>
      <c r="DE232" s="177"/>
      <c r="DF232" s="177"/>
      <c r="DG232" s="177"/>
      <c r="DH232" s="177"/>
      <c r="DI232" s="177"/>
      <c r="DJ232" s="177"/>
      <c r="DK232" s="177"/>
      <c r="DL232" s="177"/>
      <c r="DM232" s="177"/>
      <c r="DN232" s="177"/>
      <c r="DO232" s="177"/>
      <c r="DP232" s="19"/>
      <c r="DQ232" s="19"/>
      <c r="DR232" s="19"/>
      <c r="DS232" s="12"/>
      <c r="DT232" s="13"/>
    </row>
    <row r="233" spans="1:124" ht="5.0999999999999996" customHeight="1">
      <c r="A233" s="12"/>
      <c r="B233" s="18"/>
      <c r="C233" s="19"/>
      <c r="D233" s="19"/>
      <c r="E233" s="19"/>
      <c r="F233" s="79"/>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c r="AL233" s="80"/>
      <c r="AM233" s="80"/>
      <c r="AN233" s="80"/>
      <c r="AO233" s="80"/>
      <c r="AP233" s="80"/>
      <c r="AQ233" s="80"/>
      <c r="AR233" s="80"/>
      <c r="AS233" s="80"/>
      <c r="AT233" s="80"/>
      <c r="AU233" s="80"/>
      <c r="AV233" s="80"/>
      <c r="AW233" s="80"/>
      <c r="AX233" s="80"/>
      <c r="AY233" s="80"/>
      <c r="AZ233" s="80"/>
      <c r="BA233" s="80"/>
      <c r="BB233" s="80"/>
      <c r="BC233" s="80"/>
      <c r="BD233" s="80"/>
      <c r="BE233" s="80"/>
      <c r="BF233" s="80"/>
      <c r="BG233" s="80"/>
      <c r="BH233" s="80"/>
      <c r="BI233" s="80"/>
      <c r="BJ233" s="80"/>
      <c r="BK233" s="80"/>
      <c r="BL233" s="80"/>
      <c r="BM233" s="80"/>
      <c r="BN233" s="80"/>
      <c r="BO233" s="80"/>
      <c r="BP233" s="80"/>
      <c r="BQ233" s="80"/>
      <c r="BR233" s="80"/>
      <c r="BS233" s="80"/>
      <c r="BT233" s="80"/>
      <c r="BU233" s="80"/>
      <c r="BV233" s="80"/>
      <c r="BW233" s="80"/>
      <c r="BX233" s="80"/>
      <c r="BY233" s="80"/>
      <c r="BZ233" s="80"/>
      <c r="CA233" s="80"/>
      <c r="CB233" s="80"/>
      <c r="CC233" s="80"/>
      <c r="CD233" s="80"/>
      <c r="CE233" s="80"/>
      <c r="CF233" s="80"/>
      <c r="CG233" s="80"/>
      <c r="CH233" s="80"/>
      <c r="CI233" s="80"/>
      <c r="CJ233" s="80"/>
      <c r="CK233" s="80"/>
      <c r="CL233" s="80"/>
      <c r="CM233" s="80"/>
      <c r="CN233" s="80"/>
      <c r="CO233" s="80"/>
      <c r="CP233" s="80"/>
      <c r="CQ233" s="80"/>
      <c r="CR233" s="80"/>
      <c r="CS233" s="80"/>
      <c r="CT233" s="80"/>
      <c r="CU233" s="80"/>
      <c r="CV233" s="80"/>
      <c r="CW233" s="80"/>
      <c r="CX233" s="80"/>
      <c r="CY233" s="80"/>
      <c r="CZ233" s="80"/>
      <c r="DA233" s="80"/>
      <c r="DB233" s="80"/>
      <c r="DC233" s="80"/>
      <c r="DD233" s="80"/>
      <c r="DE233" s="80"/>
      <c r="DF233" s="80"/>
      <c r="DG233" s="80"/>
      <c r="DH233" s="80"/>
      <c r="DI233" s="80"/>
      <c r="DJ233" s="80"/>
      <c r="DK233" s="80"/>
      <c r="DL233" s="80"/>
      <c r="DM233" s="80"/>
      <c r="DN233" s="80"/>
      <c r="DO233" s="81"/>
      <c r="DP233" s="19"/>
      <c r="DQ233" s="19"/>
      <c r="DR233" s="19"/>
      <c r="DS233" s="12"/>
      <c r="DT233" s="13"/>
    </row>
    <row r="234" spans="1:124" ht="33" customHeight="1">
      <c r="A234" s="12"/>
      <c r="B234" s="18"/>
      <c r="C234" s="19"/>
      <c r="D234" s="19"/>
      <c r="E234" s="54"/>
      <c r="F234" s="82"/>
      <c r="G234" s="178" t="s">
        <v>1093</v>
      </c>
      <c r="H234" s="178"/>
      <c r="I234" s="178"/>
      <c r="J234" s="178"/>
      <c r="K234" s="178"/>
      <c r="L234" s="178"/>
      <c r="M234" s="178"/>
      <c r="N234" s="178"/>
      <c r="O234" s="178"/>
      <c r="P234" s="178"/>
      <c r="Q234" s="178"/>
      <c r="R234" s="178"/>
      <c r="S234" s="178"/>
      <c r="T234" s="178"/>
      <c r="U234" s="178"/>
      <c r="V234" s="178"/>
      <c r="W234" s="178"/>
      <c r="X234" s="178"/>
      <c r="Y234" s="178"/>
      <c r="Z234" s="178"/>
      <c r="AA234" s="178"/>
      <c r="AB234" s="178"/>
      <c r="AC234" s="58"/>
      <c r="AD234" s="178" t="s">
        <v>1094</v>
      </c>
      <c r="AE234" s="178"/>
      <c r="AF234" s="178"/>
      <c r="AG234" s="178"/>
      <c r="AH234" s="178"/>
      <c r="AI234" s="178"/>
      <c r="AJ234" s="178"/>
      <c r="AK234" s="178"/>
      <c r="AL234" s="178"/>
      <c r="AM234" s="178"/>
      <c r="AN234" s="178"/>
      <c r="AO234" s="178"/>
      <c r="AP234" s="178"/>
      <c r="AQ234" s="178"/>
      <c r="AR234" s="178"/>
      <c r="AS234" s="178"/>
      <c r="AT234" s="178"/>
      <c r="AU234" s="178"/>
      <c r="AV234" s="178"/>
      <c r="AW234" s="178"/>
      <c r="AX234" s="178"/>
      <c r="AY234" s="178"/>
      <c r="AZ234" s="58"/>
      <c r="BA234" s="178" t="s">
        <v>1095</v>
      </c>
      <c r="BB234" s="178"/>
      <c r="BC234" s="178"/>
      <c r="BD234" s="178"/>
      <c r="BE234" s="178"/>
      <c r="BF234" s="178"/>
      <c r="BG234" s="178"/>
      <c r="BH234" s="178"/>
      <c r="BI234" s="178"/>
      <c r="BJ234" s="178"/>
      <c r="BK234" s="178"/>
      <c r="BL234" s="178"/>
      <c r="BM234" s="178"/>
      <c r="BN234" s="178"/>
      <c r="BO234" s="178"/>
      <c r="BP234" s="178"/>
      <c r="BQ234" s="178"/>
      <c r="BR234" s="178"/>
      <c r="BS234" s="178"/>
      <c r="BT234" s="58"/>
      <c r="BU234" s="178" t="s">
        <v>1096</v>
      </c>
      <c r="BV234" s="178"/>
      <c r="BW234" s="178"/>
      <c r="BX234" s="178"/>
      <c r="BY234" s="178"/>
      <c r="BZ234" s="178"/>
      <c r="CA234" s="178"/>
      <c r="CB234" s="178"/>
      <c r="CC234" s="178"/>
      <c r="CD234" s="178"/>
      <c r="CE234" s="178"/>
      <c r="CF234" s="178"/>
      <c r="CG234" s="178"/>
      <c r="CH234" s="178"/>
      <c r="CI234" s="178"/>
      <c r="CJ234" s="178"/>
      <c r="CK234" s="178"/>
      <c r="CL234" s="178"/>
      <c r="CM234" s="178"/>
      <c r="CN234" s="178"/>
      <c r="CO234" s="178"/>
      <c r="CP234" s="178"/>
      <c r="CQ234" s="178"/>
      <c r="CR234" s="58"/>
      <c r="CS234" s="179" t="s">
        <v>1097</v>
      </c>
      <c r="CT234" s="179"/>
      <c r="CU234" s="179"/>
      <c r="CV234" s="179"/>
      <c r="CW234" s="179"/>
      <c r="CX234" s="179"/>
      <c r="CY234" s="179"/>
      <c r="CZ234" s="179"/>
      <c r="DA234" s="179"/>
      <c r="DB234" s="179"/>
      <c r="DC234" s="179"/>
      <c r="DD234" s="179"/>
      <c r="DE234" s="179"/>
      <c r="DF234" s="179"/>
      <c r="DG234" s="179"/>
      <c r="DH234" s="179"/>
      <c r="DI234" s="179"/>
      <c r="DJ234" s="179"/>
      <c r="DK234" s="179"/>
      <c r="DL234" s="179"/>
      <c r="DM234" s="179"/>
      <c r="DN234" s="179"/>
      <c r="DO234" s="83"/>
      <c r="DP234" s="54"/>
      <c r="DQ234" s="19"/>
      <c r="DR234" s="19"/>
      <c r="DS234" s="12"/>
      <c r="DT234" s="13"/>
    </row>
    <row r="235" spans="1:124" ht="5.0999999999999996" customHeight="1">
      <c r="A235" s="12"/>
      <c r="B235" s="18"/>
      <c r="C235" s="19"/>
      <c r="D235" s="19"/>
      <c r="E235" s="19"/>
      <c r="F235" s="84"/>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c r="AS235" s="85"/>
      <c r="AT235" s="85"/>
      <c r="AU235" s="85"/>
      <c r="AV235" s="85"/>
      <c r="AW235" s="85"/>
      <c r="AX235" s="85"/>
      <c r="AY235" s="85"/>
      <c r="AZ235" s="85"/>
      <c r="BA235" s="85"/>
      <c r="BB235" s="85"/>
      <c r="BC235" s="85"/>
      <c r="BD235" s="85"/>
      <c r="BE235" s="85"/>
      <c r="BF235" s="85"/>
      <c r="BG235" s="85"/>
      <c r="BH235" s="85"/>
      <c r="BI235" s="85"/>
      <c r="BJ235" s="85"/>
      <c r="BK235" s="85"/>
      <c r="BL235" s="85"/>
      <c r="BM235" s="85"/>
      <c r="BN235" s="85"/>
      <c r="BO235" s="85"/>
      <c r="BP235" s="85"/>
      <c r="BQ235" s="85"/>
      <c r="BR235" s="85"/>
      <c r="BS235" s="85"/>
      <c r="BT235" s="85"/>
      <c r="BU235" s="85"/>
      <c r="BV235" s="85"/>
      <c r="BW235" s="85"/>
      <c r="BX235" s="85"/>
      <c r="BY235" s="85"/>
      <c r="BZ235" s="85"/>
      <c r="CA235" s="85"/>
      <c r="CB235" s="85"/>
      <c r="CC235" s="85"/>
      <c r="CD235" s="85"/>
      <c r="CE235" s="85"/>
      <c r="CF235" s="85"/>
      <c r="CG235" s="85"/>
      <c r="CH235" s="85"/>
      <c r="CI235" s="85"/>
      <c r="CJ235" s="85"/>
      <c r="CK235" s="85"/>
      <c r="CL235" s="85"/>
      <c r="CM235" s="85"/>
      <c r="CN235" s="85"/>
      <c r="CO235" s="85"/>
      <c r="CP235" s="85"/>
      <c r="CQ235" s="85"/>
      <c r="CR235" s="85"/>
      <c r="CS235" s="85"/>
      <c r="CT235" s="85"/>
      <c r="CU235" s="85"/>
      <c r="CV235" s="85"/>
      <c r="CW235" s="85"/>
      <c r="CX235" s="85"/>
      <c r="CY235" s="85"/>
      <c r="CZ235" s="85"/>
      <c r="DA235" s="85"/>
      <c r="DB235" s="85"/>
      <c r="DC235" s="85"/>
      <c r="DD235" s="85"/>
      <c r="DE235" s="85"/>
      <c r="DF235" s="85"/>
      <c r="DG235" s="85"/>
      <c r="DH235" s="85"/>
      <c r="DI235" s="85"/>
      <c r="DJ235" s="85"/>
      <c r="DK235" s="85"/>
      <c r="DL235" s="85"/>
      <c r="DM235" s="85"/>
      <c r="DN235" s="85"/>
      <c r="DO235" s="86"/>
      <c r="DP235" s="19"/>
      <c r="DQ235" s="19"/>
      <c r="DR235" s="19"/>
      <c r="DS235" s="12"/>
      <c r="DT235" s="13"/>
    </row>
    <row r="236" spans="1:124" ht="15" customHeight="1">
      <c r="A236" s="12"/>
      <c r="B236" s="18"/>
      <c r="C236" s="19"/>
      <c r="D236" s="19"/>
      <c r="E236" s="19"/>
      <c r="F236" s="57"/>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c r="DH236" s="58"/>
      <c r="DI236" s="58"/>
      <c r="DJ236" s="58"/>
      <c r="DK236" s="58"/>
      <c r="DL236" s="58"/>
      <c r="DM236" s="58"/>
      <c r="DN236" s="58"/>
      <c r="DO236" s="19"/>
      <c r="DP236" s="19"/>
      <c r="DQ236" s="19"/>
      <c r="DR236" s="19"/>
      <c r="DS236" s="12"/>
      <c r="DT236" s="13"/>
    </row>
    <row r="237" spans="1:124" ht="5.0999999999999996" customHeight="1">
      <c r="DS237" s="12"/>
    </row>
    <row r="238" spans="1:124" ht="5.0999999999999996" customHeight="1">
      <c r="DS238" s="12"/>
    </row>
    <row r="239" spans="1:124" ht="5.0999999999999996" customHeight="1">
      <c r="DS239" s="12"/>
    </row>
    <row r="240" spans="1:124" ht="5.0999999999999996" customHeight="1">
      <c r="A240" s="12"/>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12"/>
      <c r="DT240" s="13"/>
    </row>
    <row r="241" spans="1:124" ht="20.100000000000001" customHeight="1">
      <c r="A241" s="12"/>
      <c r="C241" s="175" t="s">
        <v>1098</v>
      </c>
      <c r="D241" s="175"/>
      <c r="E241" s="175"/>
      <c r="F241" s="175"/>
      <c r="G241" s="175"/>
      <c r="H241" s="175"/>
      <c r="I241" s="175"/>
      <c r="J241" s="175"/>
      <c r="K241" s="175"/>
      <c r="L241" s="175"/>
      <c r="M241" s="175"/>
      <c r="N241" s="175"/>
      <c r="O241" s="175"/>
      <c r="P241" s="175"/>
      <c r="Q241" s="175"/>
      <c r="R241" s="176" t="str">
        <f>$W$18</f>
        <v>باسم عوض الله الحربي</v>
      </c>
      <c r="S241" s="176"/>
      <c r="T241" s="176"/>
      <c r="U241" s="176"/>
      <c r="V241" s="176"/>
      <c r="W241" s="176"/>
      <c r="X241" s="176"/>
      <c r="Y241" s="176"/>
      <c r="Z241" s="176"/>
      <c r="AA241" s="176"/>
      <c r="AB241" s="176"/>
      <c r="AC241" s="176"/>
      <c r="AD241" s="176"/>
      <c r="AE241" s="176"/>
      <c r="AF241" s="176"/>
      <c r="AG241" s="176"/>
      <c r="AH241" s="176"/>
      <c r="AI241" s="176"/>
      <c r="AJ241" s="176"/>
      <c r="AK241" s="176"/>
      <c r="AL241" s="176"/>
      <c r="AM241" s="176"/>
      <c r="AN241" s="176"/>
      <c r="AO241" s="176"/>
      <c r="AP241" s="176"/>
      <c r="AQ241" s="176"/>
      <c r="AR241" s="176"/>
      <c r="AS241" s="176"/>
      <c r="AT241" s="176"/>
      <c r="AU241" s="176"/>
      <c r="AV241" s="176"/>
      <c r="AW241" s="176"/>
      <c r="AX241" s="20"/>
      <c r="AZ241" s="175" t="s">
        <v>1099</v>
      </c>
      <c r="BA241" s="175"/>
      <c r="BB241" s="175"/>
      <c r="BC241" s="175"/>
      <c r="BD241" s="175"/>
      <c r="BE241" s="175"/>
      <c r="BF241" s="175"/>
      <c r="BG241" s="175"/>
      <c r="BH241" s="175"/>
      <c r="BI241" s="175"/>
      <c r="BJ241" s="175"/>
      <c r="BK241" s="175"/>
      <c r="BL241" s="175"/>
      <c r="BM241" s="176" t="str">
        <f>$CJ$22</f>
        <v>basim.a@tvtc.gov.sa</v>
      </c>
      <c r="BN241" s="176"/>
      <c r="BO241" s="176"/>
      <c r="BP241" s="176"/>
      <c r="BQ241" s="176"/>
      <c r="BR241" s="176"/>
      <c r="BS241" s="176"/>
      <c r="BT241" s="176"/>
      <c r="BU241" s="176"/>
      <c r="BV241" s="176"/>
      <c r="BW241" s="176"/>
      <c r="BX241" s="176"/>
      <c r="BY241" s="176"/>
      <c r="BZ241" s="176"/>
      <c r="CA241" s="176"/>
      <c r="CB241" s="176"/>
      <c r="CC241" s="176"/>
      <c r="CD241" s="176"/>
      <c r="CE241" s="176"/>
      <c r="CF241" s="176"/>
      <c r="CG241" s="176"/>
      <c r="CH241" s="176"/>
      <c r="CI241" s="176"/>
      <c r="CJ241" s="176"/>
      <c r="CK241" s="176"/>
      <c r="CL241" s="176"/>
      <c r="CM241" s="176"/>
      <c r="CN241" s="176"/>
      <c r="CO241" s="176"/>
      <c r="CP241" s="176"/>
      <c r="CQ241" s="176"/>
      <c r="CR241" s="176"/>
      <c r="CS241" s="20"/>
      <c r="CU241" s="175" t="s">
        <v>1100</v>
      </c>
      <c r="CV241" s="175"/>
      <c r="CW241" s="175"/>
      <c r="CX241" s="175"/>
      <c r="CY241" s="175"/>
      <c r="CZ241" s="175"/>
      <c r="DA241" s="174">
        <f ca="1">TODAY()</f>
        <v>45546</v>
      </c>
      <c r="DB241" s="174"/>
      <c r="DC241" s="174"/>
      <c r="DD241" s="174"/>
      <c r="DE241" s="174"/>
      <c r="DF241" s="174"/>
      <c r="DG241" s="174"/>
      <c r="DH241" s="174"/>
      <c r="DI241" s="174"/>
      <c r="DJ241" s="174"/>
      <c r="DK241" s="174"/>
      <c r="DL241" s="174"/>
      <c r="DM241" s="174"/>
      <c r="DN241" s="174"/>
      <c r="DO241" s="174"/>
      <c r="DP241" s="174"/>
      <c r="DQ241" s="174"/>
      <c r="DR241" s="20"/>
      <c r="DS241" s="12"/>
      <c r="DT241" s="13"/>
    </row>
    <row r="242" spans="1:124" ht="5.0999999999999996" customHeight="1">
      <c r="A242" s="12"/>
      <c r="C242" s="53"/>
      <c r="D242" s="53"/>
      <c r="E242" s="53"/>
      <c r="F242" s="53"/>
      <c r="G242" s="53"/>
      <c r="H242" s="53"/>
      <c r="I242" s="53"/>
      <c r="J242" s="53"/>
      <c r="K242" s="53"/>
      <c r="L242" s="53"/>
      <c r="M242" s="53"/>
      <c r="N242" s="53"/>
      <c r="O242" s="53"/>
      <c r="P242" s="53"/>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Z242" s="55"/>
      <c r="BA242" s="55"/>
      <c r="BB242" s="55"/>
      <c r="BC242" s="55"/>
      <c r="BD242" s="55"/>
      <c r="BE242" s="55"/>
      <c r="BF242" s="55"/>
      <c r="BG242" s="55"/>
      <c r="BH242" s="55"/>
      <c r="BI242" s="55"/>
      <c r="BJ242" s="55"/>
      <c r="BK242" s="55"/>
      <c r="BL242" s="55"/>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U242" s="55"/>
      <c r="CV242" s="55"/>
      <c r="CW242" s="55"/>
      <c r="CX242" s="55"/>
      <c r="CY242" s="55"/>
      <c r="CZ242" s="55"/>
      <c r="DA242" s="55"/>
      <c r="DB242" s="55"/>
      <c r="DC242" s="55"/>
      <c r="DD242" s="55"/>
      <c r="DE242" s="20"/>
      <c r="DF242" s="20"/>
      <c r="DG242" s="20"/>
      <c r="DH242" s="20"/>
      <c r="DI242" s="20"/>
      <c r="DJ242" s="20"/>
      <c r="DK242" s="20"/>
      <c r="DL242" s="20"/>
      <c r="DM242" s="20"/>
      <c r="DN242" s="20"/>
      <c r="DO242" s="20"/>
      <c r="DP242" s="20"/>
      <c r="DQ242" s="20"/>
      <c r="DR242" s="20"/>
      <c r="DS242" s="12"/>
      <c r="DT242" s="13"/>
    </row>
    <row r="243" spans="1:124" ht="5.0999999999999996" customHeight="1">
      <c r="A243" s="12"/>
      <c r="C243" s="13"/>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c r="AR243" s="95"/>
      <c r="AS243" s="95"/>
      <c r="AT243" s="95"/>
      <c r="AU243" s="95"/>
      <c r="AV243" s="95"/>
      <c r="AW243" s="95"/>
      <c r="AX243" s="95"/>
      <c r="AZ243" s="95"/>
      <c r="BA243" s="95"/>
      <c r="BB243" s="95"/>
      <c r="BC243" s="95"/>
      <c r="BD243" s="95"/>
      <c r="BE243" s="95"/>
      <c r="BF243" s="95"/>
      <c r="BG243" s="95"/>
      <c r="BH243" s="95"/>
      <c r="BI243" s="95"/>
      <c r="BJ243" s="95"/>
      <c r="BK243" s="95"/>
      <c r="BL243" s="95"/>
      <c r="BM243" s="95"/>
      <c r="BN243" s="95"/>
      <c r="BO243" s="95"/>
      <c r="BP243" s="95"/>
      <c r="BQ243" s="95"/>
      <c r="BR243" s="95"/>
      <c r="BS243" s="95"/>
      <c r="BT243" s="95"/>
      <c r="BU243" s="95"/>
      <c r="BV243" s="95"/>
      <c r="BW243" s="95"/>
      <c r="BX243" s="95"/>
      <c r="BY243" s="95"/>
      <c r="BZ243" s="95"/>
      <c r="CA243" s="95"/>
      <c r="CB243" s="95"/>
      <c r="CC243" s="95"/>
      <c r="CD243" s="95"/>
      <c r="CE243" s="95"/>
      <c r="CF243" s="95"/>
      <c r="CG243" s="95"/>
      <c r="CH243" s="95"/>
      <c r="CI243" s="95"/>
      <c r="CJ243" s="95"/>
      <c r="CK243" s="95"/>
      <c r="CL243" s="95"/>
      <c r="CM243" s="95"/>
      <c r="CN243" s="95"/>
      <c r="CS243" s="95"/>
      <c r="CU243" s="95"/>
      <c r="CV243" s="95"/>
      <c r="CW243" s="95"/>
      <c r="CX243" s="95"/>
      <c r="CY243" s="95"/>
      <c r="CZ243" s="95"/>
      <c r="DA243" s="95"/>
      <c r="DB243" s="95"/>
      <c r="DC243" s="95"/>
      <c r="DD243" s="95"/>
      <c r="DE243" s="95"/>
      <c r="DF243" s="95"/>
      <c r="DG243" s="95"/>
      <c r="DH243" s="95"/>
      <c r="DI243" s="95"/>
      <c r="DJ243" s="95"/>
      <c r="DK243" s="95"/>
      <c r="DL243" s="95"/>
      <c r="DM243" s="95"/>
      <c r="DN243" s="95"/>
      <c r="DO243" s="95"/>
      <c r="DR243" s="95"/>
      <c r="DS243" s="12"/>
      <c r="DT243" s="13"/>
    </row>
    <row r="244" spans="1:124" ht="5.0999999999999996" customHeight="1">
      <c r="A244" s="12"/>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12"/>
      <c r="DT244" s="13"/>
    </row>
    <row r="245" spans="1:124" ht="20.100000000000001" customHeight="1">
      <c r="A245" s="12"/>
      <c r="C245" s="175" t="s">
        <v>1101</v>
      </c>
      <c r="D245" s="175"/>
      <c r="E245" s="175"/>
      <c r="F245" s="175"/>
      <c r="G245" s="175"/>
      <c r="H245" s="175"/>
      <c r="I245" s="175"/>
      <c r="J245" s="175"/>
      <c r="K245" s="175"/>
      <c r="L245" s="175"/>
      <c r="M245" s="175"/>
      <c r="N245" s="175"/>
      <c r="O245" s="175"/>
      <c r="P245" s="175"/>
      <c r="Q245" s="175"/>
      <c r="R245" s="180"/>
      <c r="S245" s="180"/>
      <c r="T245" s="180"/>
      <c r="U245" s="180"/>
      <c r="V245" s="180"/>
      <c r="W245" s="180"/>
      <c r="X245" s="180"/>
      <c r="Y245" s="180"/>
      <c r="Z245" s="180"/>
      <c r="AA245" s="180"/>
      <c r="AB245" s="180"/>
      <c r="AC245" s="180"/>
      <c r="AD245" s="180"/>
      <c r="AE245" s="180"/>
      <c r="AF245" s="180"/>
      <c r="AG245" s="180"/>
      <c r="AH245" s="180"/>
      <c r="AI245" s="180"/>
      <c r="AJ245" s="180"/>
      <c r="AK245" s="180"/>
      <c r="AL245" s="180"/>
      <c r="AM245" s="180"/>
      <c r="AN245" s="180"/>
      <c r="AO245" s="180"/>
      <c r="AP245" s="180"/>
      <c r="AQ245" s="180"/>
      <c r="AR245" s="180"/>
      <c r="AS245" s="180"/>
      <c r="AT245" s="180"/>
      <c r="AU245" s="180"/>
      <c r="AV245" s="180"/>
      <c r="AW245" s="180"/>
      <c r="AX245" s="20"/>
      <c r="AZ245" s="175" t="s">
        <v>1099</v>
      </c>
      <c r="BA245" s="175"/>
      <c r="BB245" s="175"/>
      <c r="BC245" s="175"/>
      <c r="BD245" s="175"/>
      <c r="BE245" s="175"/>
      <c r="BF245" s="175"/>
      <c r="BG245" s="175"/>
      <c r="BH245" s="175"/>
      <c r="BI245" s="175"/>
      <c r="BJ245" s="175"/>
      <c r="BK245" s="175"/>
      <c r="BL245" s="175"/>
      <c r="BM245" s="176">
        <f>$AI$52</f>
        <v>0</v>
      </c>
      <c r="BN245" s="176"/>
      <c r="BO245" s="176"/>
      <c r="BP245" s="176"/>
      <c r="BQ245" s="176"/>
      <c r="BR245" s="176"/>
      <c r="BS245" s="176"/>
      <c r="BT245" s="176"/>
      <c r="BU245" s="176"/>
      <c r="BV245" s="176"/>
      <c r="BW245" s="176"/>
      <c r="BX245" s="176"/>
      <c r="BY245" s="176"/>
      <c r="BZ245" s="176"/>
      <c r="CA245" s="176"/>
      <c r="CB245" s="176"/>
      <c r="CC245" s="176"/>
      <c r="CD245" s="176"/>
      <c r="CE245" s="176"/>
      <c r="CF245" s="176"/>
      <c r="CG245" s="176"/>
      <c r="CH245" s="176"/>
      <c r="CI245" s="176"/>
      <c r="CJ245" s="176"/>
      <c r="CK245" s="176"/>
      <c r="CL245" s="176"/>
      <c r="CM245" s="176"/>
      <c r="CN245" s="176"/>
      <c r="CO245" s="176"/>
      <c r="CP245" s="176"/>
      <c r="CQ245" s="176"/>
      <c r="CR245" s="176"/>
      <c r="CS245" s="20"/>
      <c r="CU245" s="175" t="s">
        <v>1100</v>
      </c>
      <c r="CV245" s="175"/>
      <c r="CW245" s="175"/>
      <c r="CX245" s="175"/>
      <c r="CY245" s="175"/>
      <c r="CZ245" s="175"/>
      <c r="DA245" s="174">
        <f ca="1">TODAY()</f>
        <v>45546</v>
      </c>
      <c r="DB245" s="174"/>
      <c r="DC245" s="174"/>
      <c r="DD245" s="174"/>
      <c r="DE245" s="174"/>
      <c r="DF245" s="174"/>
      <c r="DG245" s="174"/>
      <c r="DH245" s="174"/>
      <c r="DI245" s="174"/>
      <c r="DJ245" s="174"/>
      <c r="DK245" s="174"/>
      <c r="DL245" s="174"/>
      <c r="DM245" s="174"/>
      <c r="DN245" s="174"/>
      <c r="DO245" s="174"/>
      <c r="DP245" s="174"/>
      <c r="DQ245" s="174"/>
      <c r="DR245" s="20"/>
      <c r="DS245" s="12"/>
      <c r="DT245" s="13"/>
    </row>
    <row r="246" spans="1:124" ht="5.0999999999999996" customHeight="1">
      <c r="A246" s="12"/>
      <c r="C246" s="53"/>
      <c r="D246" s="53"/>
      <c r="E246" s="53"/>
      <c r="F246" s="53"/>
      <c r="G246" s="53"/>
      <c r="H246" s="53"/>
      <c r="I246" s="53"/>
      <c r="J246" s="53"/>
      <c r="K246" s="53"/>
      <c r="L246" s="53"/>
      <c r="M246" s="53"/>
      <c r="N246" s="53"/>
      <c r="O246" s="53"/>
      <c r="P246" s="53"/>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Z246" s="55"/>
      <c r="BA246" s="55"/>
      <c r="BB246" s="55"/>
      <c r="BC246" s="55"/>
      <c r="BD246" s="55"/>
      <c r="BE246" s="55"/>
      <c r="BF246" s="55"/>
      <c r="BG246" s="55"/>
      <c r="BH246" s="55"/>
      <c r="BI246" s="55"/>
      <c r="BJ246" s="55"/>
      <c r="BK246" s="55"/>
      <c r="BL246" s="55"/>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U246" s="55"/>
      <c r="CV246" s="55"/>
      <c r="CW246" s="55"/>
      <c r="CX246" s="55"/>
      <c r="CY246" s="55"/>
      <c r="CZ246" s="55"/>
      <c r="DA246" s="55"/>
      <c r="DB246" s="55"/>
      <c r="DC246" s="55"/>
      <c r="DD246" s="55"/>
      <c r="DE246" s="20"/>
      <c r="DF246" s="20"/>
      <c r="DG246" s="20"/>
      <c r="DH246" s="20"/>
      <c r="DI246" s="20"/>
      <c r="DJ246" s="20"/>
      <c r="DK246" s="20"/>
      <c r="DL246" s="20"/>
      <c r="DM246" s="20"/>
      <c r="DN246" s="20"/>
      <c r="DO246" s="20"/>
      <c r="DP246" s="20"/>
      <c r="DQ246" s="20"/>
      <c r="DR246" s="20"/>
      <c r="DS246" s="12"/>
      <c r="DT246" s="13"/>
    </row>
    <row r="247" spans="1:124" ht="5.0999999999999996" customHeight="1">
      <c r="A247" s="13"/>
      <c r="B247" s="13"/>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c r="DP247" s="95"/>
      <c r="DQ247" s="95"/>
      <c r="DR247" s="95"/>
      <c r="DS247" s="13"/>
      <c r="DT247" s="13"/>
    </row>
    <row r="248" spans="1:124" ht="20.100000000000001" customHeight="1">
      <c r="A248" s="12"/>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c r="BP248" s="96"/>
      <c r="BQ248" s="96"/>
      <c r="BR248" s="96"/>
      <c r="BS248" s="96"/>
      <c r="BT248" s="96"/>
      <c r="BU248" s="96"/>
      <c r="BV248" s="96"/>
      <c r="BW248" s="96"/>
      <c r="BX248" s="96"/>
      <c r="BY248" s="96"/>
      <c r="BZ248" s="96"/>
      <c r="CA248" s="96"/>
      <c r="CB248" s="96"/>
      <c r="CC248" s="96"/>
      <c r="CD248" s="96"/>
      <c r="CE248" s="96"/>
      <c r="CF248" s="96"/>
      <c r="CG248" s="96"/>
      <c r="CH248" s="96"/>
      <c r="CI248" s="96"/>
      <c r="CJ248" s="96"/>
      <c r="CK248" s="96"/>
      <c r="CL248" s="96"/>
      <c r="CM248" s="96"/>
      <c r="CN248" s="96"/>
      <c r="CO248" s="96"/>
      <c r="CP248" s="96"/>
      <c r="CQ248" s="96"/>
      <c r="CR248" s="96"/>
      <c r="CS248" s="96"/>
      <c r="CT248" s="96"/>
      <c r="CU248" s="96"/>
      <c r="CV248" s="96"/>
      <c r="CW248" s="96"/>
      <c r="CX248" s="96"/>
      <c r="CY248" s="96"/>
      <c r="CZ248" s="96"/>
      <c r="DA248" s="96"/>
      <c r="DB248" s="96"/>
      <c r="DC248" s="96"/>
      <c r="DD248" s="96"/>
      <c r="DE248" s="96"/>
      <c r="DF248" s="96"/>
      <c r="DG248" s="96"/>
      <c r="DH248" s="96"/>
      <c r="DI248" s="96"/>
      <c r="DJ248" s="96"/>
      <c r="DK248" s="96"/>
      <c r="DL248" s="96"/>
      <c r="DM248" s="96"/>
      <c r="DN248" s="96"/>
      <c r="DO248" s="96"/>
      <c r="DP248" s="96"/>
      <c r="DQ248" s="96"/>
      <c r="DR248" s="96"/>
      <c r="DS248" s="12"/>
      <c r="DT248" s="13"/>
    </row>
    <row r="249" spans="1:124" ht="20.100000000000001" customHeight="1"/>
    <row r="250" spans="1:124" ht="5.0999999999999996" customHeight="1"/>
    <row r="251" spans="1:124" ht="5.0999999999999996" customHeight="1"/>
    <row r="252" spans="1:124" ht="0" hidden="1" customHeight="1"/>
    <row r="253" spans="1:124" ht="0" hidden="1" customHeight="1"/>
    <row r="254" spans="1:124" ht="0" hidden="1" customHeight="1"/>
    <row r="255" spans="1:124" ht="0" hidden="1" customHeight="1"/>
    <row r="256" spans="1:124" ht="0" hidden="1" customHeight="1"/>
    <row r="257" ht="0" hidden="1" customHeight="1"/>
    <row r="258" ht="0" hidden="1" customHeight="1"/>
    <row r="259" ht="15" customHeight="1"/>
  </sheetData>
  <sheetProtection algorithmName="SHA-512" hashValue="swxAOIKRpyigQi1TcWlc/2ZzpzhyuFa9ySb+y1F+pLhu2oexTWPCbPbs8xh2uEfoBDVO4gICSNgWqF2bYNkciA==" saltValue="EErGq9vWlEN8Tj6QlcxitA==" spinCount="100000" sheet="1" objects="1" formatCells="0" formatRows="0" insertHyperlinks="0" selectLockedCells="1"/>
  <autoFilter ref="A138:A181"/>
  <mergeCells count="574">
    <mergeCell ref="G222:AP222"/>
    <mergeCell ref="AS222:CA222"/>
    <mergeCell ref="CC222:DN222"/>
    <mergeCell ref="G224:AP224"/>
    <mergeCell ref="AS224:CA224"/>
    <mergeCell ref="CC224:DN224"/>
    <mergeCell ref="E144:H144"/>
    <mergeCell ref="E145:H145"/>
    <mergeCell ref="E150:H150"/>
    <mergeCell ref="E154:H154"/>
    <mergeCell ref="E156:H156"/>
    <mergeCell ref="E160:H160"/>
    <mergeCell ref="E171:H171"/>
    <mergeCell ref="E167:H167"/>
    <mergeCell ref="E159:H159"/>
    <mergeCell ref="E161:H161"/>
    <mergeCell ref="E158:H158"/>
    <mergeCell ref="E153:H153"/>
    <mergeCell ref="E155:H155"/>
    <mergeCell ref="E152:H152"/>
    <mergeCell ref="E146:H146"/>
    <mergeCell ref="E162:H162"/>
    <mergeCell ref="E163:H163"/>
    <mergeCell ref="E164:H164"/>
    <mergeCell ref="G218:AP218"/>
    <mergeCell ref="AS218:CA218"/>
    <mergeCell ref="CC218:DN218"/>
    <mergeCell ref="G220:AP220"/>
    <mergeCell ref="AS220:CA220"/>
    <mergeCell ref="CC220:DN220"/>
    <mergeCell ref="G206:AP206"/>
    <mergeCell ref="AS206:CA206"/>
    <mergeCell ref="CC206:DN206"/>
    <mergeCell ref="G208:AP208"/>
    <mergeCell ref="AS208:CA208"/>
    <mergeCell ref="CC208:DN208"/>
    <mergeCell ref="G202:AP202"/>
    <mergeCell ref="AS202:CA202"/>
    <mergeCell ref="CC202:DN202"/>
    <mergeCell ref="G204:AP204"/>
    <mergeCell ref="AS204:CA204"/>
    <mergeCell ref="CC204:DN204"/>
    <mergeCell ref="DK188:DP188"/>
    <mergeCell ref="DK190:DP190"/>
    <mergeCell ref="DK192:DP192"/>
    <mergeCell ref="E188:BX192"/>
    <mergeCell ref="BZ188:DI188"/>
    <mergeCell ref="BZ190:DI190"/>
    <mergeCell ref="BZ192:DI192"/>
    <mergeCell ref="DK182:DP182"/>
    <mergeCell ref="DA245:DQ245"/>
    <mergeCell ref="C241:Q241"/>
    <mergeCell ref="AZ241:BL241"/>
    <mergeCell ref="BM241:CR241"/>
    <mergeCell ref="CU241:CZ241"/>
    <mergeCell ref="DA241:DQ241"/>
    <mergeCell ref="F232:DO232"/>
    <mergeCell ref="G234:AB234"/>
    <mergeCell ref="AD234:AY234"/>
    <mergeCell ref="BA234:BS234"/>
    <mergeCell ref="BU234:CQ234"/>
    <mergeCell ref="CS234:DN234"/>
    <mergeCell ref="C245:Q245"/>
    <mergeCell ref="AZ245:BL245"/>
    <mergeCell ref="BM245:CR245"/>
    <mergeCell ref="CU245:CZ245"/>
    <mergeCell ref="R241:AW241"/>
    <mergeCell ref="R245:AW245"/>
    <mergeCell ref="CH183:CM183"/>
    <mergeCell ref="D185:DQ185"/>
    <mergeCell ref="CH182:CM182"/>
    <mergeCell ref="E182:CG182"/>
    <mergeCell ref="CO182:DJ182"/>
    <mergeCell ref="DK176:DP176"/>
    <mergeCell ref="E177:H177"/>
    <mergeCell ref="CH177:CM177"/>
    <mergeCell ref="DK177:DP177"/>
    <mergeCell ref="DK174:DP174"/>
    <mergeCell ref="CH175:CM175"/>
    <mergeCell ref="DK175:DP175"/>
    <mergeCell ref="E174:H174"/>
    <mergeCell ref="CH174:CM174"/>
    <mergeCell ref="E176:H176"/>
    <mergeCell ref="CH176:CM176"/>
    <mergeCell ref="E175:H175"/>
    <mergeCell ref="BZ174:CF174"/>
    <mergeCell ref="CO174:CZ174"/>
    <mergeCell ref="DB174:DI174"/>
    <mergeCell ref="I175:AP175"/>
    <mergeCell ref="AS175:BX175"/>
    <mergeCell ref="BZ175:CF175"/>
    <mergeCell ref="CO175:CZ175"/>
    <mergeCell ref="DB175:DI175"/>
    <mergeCell ref="E173:H173"/>
    <mergeCell ref="CH173:CM173"/>
    <mergeCell ref="DK173:DP173"/>
    <mergeCell ref="E172:H172"/>
    <mergeCell ref="CH172:CM172"/>
    <mergeCell ref="DK172:DP172"/>
    <mergeCell ref="I172:AP172"/>
    <mergeCell ref="AS172:BX172"/>
    <mergeCell ref="BZ172:CF172"/>
    <mergeCell ref="CO172:CZ172"/>
    <mergeCell ref="DB172:DI172"/>
    <mergeCell ref="I173:AP173"/>
    <mergeCell ref="AS173:BX173"/>
    <mergeCell ref="BZ173:CF173"/>
    <mergeCell ref="CO173:CZ173"/>
    <mergeCell ref="DB173:DI173"/>
    <mergeCell ref="E169:H169"/>
    <mergeCell ref="CH169:CM169"/>
    <mergeCell ref="DK169:DP169"/>
    <mergeCell ref="E168:H168"/>
    <mergeCell ref="CH168:CM168"/>
    <mergeCell ref="E170:H170"/>
    <mergeCell ref="CH170:CM170"/>
    <mergeCell ref="BZ169:CF169"/>
    <mergeCell ref="BZ170:CF170"/>
    <mergeCell ref="CO170:CZ170"/>
    <mergeCell ref="DB170:DI170"/>
    <mergeCell ref="DK170:DP170"/>
    <mergeCell ref="CH171:CM171"/>
    <mergeCell ref="DK171:DP171"/>
    <mergeCell ref="DK168:DP168"/>
    <mergeCell ref="AS167:BX167"/>
    <mergeCell ref="CO167:CZ167"/>
    <mergeCell ref="DB167:DI167"/>
    <mergeCell ref="I168:AP168"/>
    <mergeCell ref="AS168:BX168"/>
    <mergeCell ref="BZ168:CF168"/>
    <mergeCell ref="CO168:CZ168"/>
    <mergeCell ref="DB168:DI168"/>
    <mergeCell ref="I169:AP169"/>
    <mergeCell ref="AS169:BX169"/>
    <mergeCell ref="CO169:CZ169"/>
    <mergeCell ref="DB169:DI169"/>
    <mergeCell ref="BZ167:CF167"/>
    <mergeCell ref="I170:AP170"/>
    <mergeCell ref="AS170:BX170"/>
    <mergeCell ref="E157:H157"/>
    <mergeCell ref="CH157:CM157"/>
    <mergeCell ref="DK157:DP157"/>
    <mergeCell ref="DK161:DP161"/>
    <mergeCell ref="CH167:CM167"/>
    <mergeCell ref="DK159:DP159"/>
    <mergeCell ref="CH160:CM160"/>
    <mergeCell ref="DK160:DP160"/>
    <mergeCell ref="CH159:CM159"/>
    <mergeCell ref="CH161:CM161"/>
    <mergeCell ref="DK164:DP164"/>
    <mergeCell ref="CH165:CM165"/>
    <mergeCell ref="DK162:DP162"/>
    <mergeCell ref="CH163:CM163"/>
    <mergeCell ref="DK163:DP163"/>
    <mergeCell ref="CH162:CM162"/>
    <mergeCell ref="CH164:CM164"/>
    <mergeCell ref="DK167:DP167"/>
    <mergeCell ref="DK165:DP165"/>
    <mergeCell ref="E166:H166"/>
    <mergeCell ref="CH166:CM166"/>
    <mergeCell ref="DK166:DP166"/>
    <mergeCell ref="E165:H165"/>
    <mergeCell ref="BZ166:CF166"/>
    <mergeCell ref="DK155:DP155"/>
    <mergeCell ref="CH156:CM156"/>
    <mergeCell ref="DK156:DP156"/>
    <mergeCell ref="DK153:DP153"/>
    <mergeCell ref="CH154:CM154"/>
    <mergeCell ref="DK154:DP154"/>
    <mergeCell ref="CH153:CM153"/>
    <mergeCell ref="CH155:CM155"/>
    <mergeCell ref="CH158:CM158"/>
    <mergeCell ref="DK158:DP158"/>
    <mergeCell ref="E148:H148"/>
    <mergeCell ref="CH148:CM148"/>
    <mergeCell ref="DK148:DP148"/>
    <mergeCell ref="E147:H147"/>
    <mergeCell ref="CH147:CM147"/>
    <mergeCell ref="E149:H149"/>
    <mergeCell ref="CH149:CM149"/>
    <mergeCell ref="CH152:CM152"/>
    <mergeCell ref="DK152:DP152"/>
    <mergeCell ref="BZ152:CF152"/>
    <mergeCell ref="E151:H151"/>
    <mergeCell ref="CH151:CM151"/>
    <mergeCell ref="DK151:DP151"/>
    <mergeCell ref="BZ151:CF151"/>
    <mergeCell ref="I147:AP147"/>
    <mergeCell ref="AS147:BX147"/>
    <mergeCell ref="I150:AP150"/>
    <mergeCell ref="AS150:BX150"/>
    <mergeCell ref="I149:AP149"/>
    <mergeCell ref="I151:AP151"/>
    <mergeCell ref="AS151:BX151"/>
    <mergeCell ref="CO151:CZ151"/>
    <mergeCell ref="DB151:DI151"/>
    <mergeCell ref="I152:AP152"/>
    <mergeCell ref="DK146:DP146"/>
    <mergeCell ref="DK144:DP144"/>
    <mergeCell ref="CH145:CM145"/>
    <mergeCell ref="DK145:DP145"/>
    <mergeCell ref="CH144:CM144"/>
    <mergeCell ref="AS143:BX143"/>
    <mergeCell ref="AS144:BX144"/>
    <mergeCell ref="DK149:DP149"/>
    <mergeCell ref="CH150:CM150"/>
    <mergeCell ref="DK150:DP150"/>
    <mergeCell ref="DK147:DP147"/>
    <mergeCell ref="BZ144:CF144"/>
    <mergeCell ref="CO144:CZ144"/>
    <mergeCell ref="DB144:DI144"/>
    <mergeCell ref="AS149:BX149"/>
    <mergeCell ref="BZ149:CF149"/>
    <mergeCell ref="CO149:CZ149"/>
    <mergeCell ref="DB149:DI149"/>
    <mergeCell ref="BZ150:CF150"/>
    <mergeCell ref="CO150:CZ150"/>
    <mergeCell ref="DB150:DI150"/>
    <mergeCell ref="G128:DN128"/>
    <mergeCell ref="F130:DO130"/>
    <mergeCell ref="CO143:CZ143"/>
    <mergeCell ref="DB143:DI143"/>
    <mergeCell ref="DK143:DP143"/>
    <mergeCell ref="E141:H141"/>
    <mergeCell ref="E143:H143"/>
    <mergeCell ref="E142:H142"/>
    <mergeCell ref="CO141:CZ141"/>
    <mergeCell ref="DB141:DI141"/>
    <mergeCell ref="DK141:DP141"/>
    <mergeCell ref="CO142:CZ142"/>
    <mergeCell ref="DB142:DI142"/>
    <mergeCell ref="DK142:DP142"/>
    <mergeCell ref="I141:AP141"/>
    <mergeCell ref="AS141:BX141"/>
    <mergeCell ref="I143:AP143"/>
    <mergeCell ref="CH143:CM143"/>
    <mergeCell ref="BZ138:CF138"/>
    <mergeCell ref="BZ139:CF139"/>
    <mergeCell ref="BZ141:CF141"/>
    <mergeCell ref="BZ142:CF142"/>
    <mergeCell ref="BZ143:CF143"/>
    <mergeCell ref="AR138:BX138"/>
    <mergeCell ref="F111:DO111"/>
    <mergeCell ref="F117:DO117"/>
    <mergeCell ref="G120:DN120"/>
    <mergeCell ref="G121:DN121"/>
    <mergeCell ref="F124:DO124"/>
    <mergeCell ref="G127:DN127"/>
    <mergeCell ref="F98:DO98"/>
    <mergeCell ref="G101:DN101"/>
    <mergeCell ref="G102:DN102"/>
    <mergeCell ref="F105:DO105"/>
    <mergeCell ref="G108:DN108"/>
    <mergeCell ref="G109:DN109"/>
    <mergeCell ref="F91:V91"/>
    <mergeCell ref="W91:BP91"/>
    <mergeCell ref="BS91:CI91"/>
    <mergeCell ref="CJ91:DN91"/>
    <mergeCell ref="F95:V95"/>
    <mergeCell ref="W95:BP95"/>
    <mergeCell ref="BS95:CI95"/>
    <mergeCell ref="CJ95:DN95"/>
    <mergeCell ref="F83:V83"/>
    <mergeCell ref="W83:BP83"/>
    <mergeCell ref="BS83:CI83"/>
    <mergeCell ref="CJ83:DN83"/>
    <mergeCell ref="F87:V87"/>
    <mergeCell ref="W87:BP87"/>
    <mergeCell ref="BS87:CI87"/>
    <mergeCell ref="CJ87:DN87"/>
    <mergeCell ref="DI63:DJ63"/>
    <mergeCell ref="DK63:DM63"/>
    <mergeCell ref="F69:DN69"/>
    <mergeCell ref="F79:V79"/>
    <mergeCell ref="W79:BP79"/>
    <mergeCell ref="BS79:CI79"/>
    <mergeCell ref="CJ79:DN79"/>
    <mergeCell ref="CL63:CO63"/>
    <mergeCell ref="CQ63:CS63"/>
    <mergeCell ref="CW63:CY63"/>
    <mergeCell ref="CZ63:DA63"/>
    <mergeCell ref="DB63:DD63"/>
    <mergeCell ref="DF63:DH63"/>
    <mergeCell ref="BJ63:BL63"/>
    <mergeCell ref="BN63:BP63"/>
    <mergeCell ref="BR63:BT63"/>
    <mergeCell ref="BV63:BY63"/>
    <mergeCell ref="CC63:CE63"/>
    <mergeCell ref="CH63:CJ63"/>
    <mergeCell ref="G50:V64"/>
    <mergeCell ref="Y63:AA63"/>
    <mergeCell ref="AC63:AE63"/>
    <mergeCell ref="AG63:AI63"/>
    <mergeCell ref="AK63:AM63"/>
    <mergeCell ref="AQ63:AT63"/>
    <mergeCell ref="AV63:AX63"/>
    <mergeCell ref="AZ63:BB63"/>
    <mergeCell ref="BD63:BF63"/>
    <mergeCell ref="CC62:CE62"/>
    <mergeCell ref="AZ62:BB62"/>
    <mergeCell ref="BD62:BF62"/>
    <mergeCell ref="BJ62:BL62"/>
    <mergeCell ref="BN62:BP62"/>
    <mergeCell ref="BR62:BT62"/>
    <mergeCell ref="BV62:BY62"/>
    <mergeCell ref="CC61:CJ61"/>
    <mergeCell ref="CL61:CS61"/>
    <mergeCell ref="CW61:DD61"/>
    <mergeCell ref="DF61:DM61"/>
    <mergeCell ref="Y62:AA62"/>
    <mergeCell ref="AC62:AE62"/>
    <mergeCell ref="AG62:AI62"/>
    <mergeCell ref="AK62:AM62"/>
    <mergeCell ref="AQ62:AT62"/>
    <mergeCell ref="AV62:AX62"/>
    <mergeCell ref="Y61:AE61"/>
    <mergeCell ref="AG61:AM61"/>
    <mergeCell ref="AQ61:AX61"/>
    <mergeCell ref="AZ61:BF61"/>
    <mergeCell ref="BJ61:BP61"/>
    <mergeCell ref="BR61:BY61"/>
    <mergeCell ref="DI62:DJ62"/>
    <mergeCell ref="DK62:DM62"/>
    <mergeCell ref="CH62:CJ62"/>
    <mergeCell ref="CQ62:CS62"/>
    <mergeCell ref="CW62:CY62"/>
    <mergeCell ref="DB62:DD62"/>
    <mergeCell ref="DF62:DH62"/>
    <mergeCell ref="CZ62:DA62"/>
    <mergeCell ref="X56:DN56"/>
    <mergeCell ref="X58:AN58"/>
    <mergeCell ref="AP58:BG58"/>
    <mergeCell ref="BI58:BZ58"/>
    <mergeCell ref="CB58:CT58"/>
    <mergeCell ref="CV58:DN58"/>
    <mergeCell ref="DB43:DD43"/>
    <mergeCell ref="DF43:DH43"/>
    <mergeCell ref="DI43:DJ43"/>
    <mergeCell ref="DK43:DM43"/>
    <mergeCell ref="AG52:AH52"/>
    <mergeCell ref="AI52:BH52"/>
    <mergeCell ref="DL52:DM52"/>
    <mergeCell ref="CC43:CE43"/>
    <mergeCell ref="CH43:CJ43"/>
    <mergeCell ref="CL43:CO43"/>
    <mergeCell ref="CQ43:CS43"/>
    <mergeCell ref="CW43:CY43"/>
    <mergeCell ref="CZ43:DA43"/>
    <mergeCell ref="AZ43:BB43"/>
    <mergeCell ref="BD43:BF43"/>
    <mergeCell ref="BJ43:BL43"/>
    <mergeCell ref="CH42:CJ42"/>
    <mergeCell ref="CZ42:DA42"/>
    <mergeCell ref="CQ42:CS42"/>
    <mergeCell ref="CW42:CY42"/>
    <mergeCell ref="AG43:AI43"/>
    <mergeCell ref="AK43:AM43"/>
    <mergeCell ref="AQ43:AT43"/>
    <mergeCell ref="AV43:AX43"/>
    <mergeCell ref="CF43:CG43"/>
    <mergeCell ref="CF42:CG42"/>
    <mergeCell ref="BU2:DS4"/>
    <mergeCell ref="O5:BP6"/>
    <mergeCell ref="BU5:DS6"/>
    <mergeCell ref="F14:V14"/>
    <mergeCell ref="W14:BP14"/>
    <mergeCell ref="BS14:CI14"/>
    <mergeCell ref="CJ14:DN14"/>
    <mergeCell ref="G30:V44"/>
    <mergeCell ref="AG32:AH32"/>
    <mergeCell ref="AI32:BH32"/>
    <mergeCell ref="DL32:DM32"/>
    <mergeCell ref="X36:DN36"/>
    <mergeCell ref="X38:AN38"/>
    <mergeCell ref="AP38:BG38"/>
    <mergeCell ref="BI38:BZ38"/>
    <mergeCell ref="CB38:CT38"/>
    <mergeCell ref="CV38:DN38"/>
    <mergeCell ref="Y41:AE41"/>
    <mergeCell ref="AG41:AM41"/>
    <mergeCell ref="AQ41:AX41"/>
    <mergeCell ref="AZ41:BF41"/>
    <mergeCell ref="BJ41:BP41"/>
    <mergeCell ref="BR41:BY41"/>
    <mergeCell ref="CC41:CJ41"/>
    <mergeCell ref="CF62:CG62"/>
    <mergeCell ref="F18:V18"/>
    <mergeCell ref="W18:BP18"/>
    <mergeCell ref="BS18:CI18"/>
    <mergeCell ref="CJ18:DN18"/>
    <mergeCell ref="F22:V22"/>
    <mergeCell ref="W22:BP22"/>
    <mergeCell ref="BS22:CI22"/>
    <mergeCell ref="CJ22:DN22"/>
    <mergeCell ref="CL41:CS41"/>
    <mergeCell ref="CW41:DD41"/>
    <mergeCell ref="DF41:DM41"/>
    <mergeCell ref="CR32:DK32"/>
    <mergeCell ref="CO32:CQ32"/>
    <mergeCell ref="DB42:DD42"/>
    <mergeCell ref="DF42:DH42"/>
    <mergeCell ref="DI42:DJ42"/>
    <mergeCell ref="DK42:DM42"/>
    <mergeCell ref="BJ42:BL42"/>
    <mergeCell ref="BN42:BP42"/>
    <mergeCell ref="BR42:BT42"/>
    <mergeCell ref="BV42:BY42"/>
    <mergeCell ref="CR52:DK52"/>
    <mergeCell ref="CC42:CE42"/>
    <mergeCell ref="AR139:BX139"/>
    <mergeCell ref="I142:AP142"/>
    <mergeCell ref="AS142:BX142"/>
    <mergeCell ref="CL62:CO62"/>
    <mergeCell ref="CL42:CO42"/>
    <mergeCell ref="CH138:CM138"/>
    <mergeCell ref="CH139:CM139"/>
    <mergeCell ref="CH141:CM141"/>
    <mergeCell ref="CH142:CM142"/>
    <mergeCell ref="BD42:BF42"/>
    <mergeCell ref="BN43:BP43"/>
    <mergeCell ref="BR43:BT43"/>
    <mergeCell ref="BV43:BY43"/>
    <mergeCell ref="Y43:AA43"/>
    <mergeCell ref="AC43:AE43"/>
    <mergeCell ref="CO52:CQ52"/>
    <mergeCell ref="Y42:AA42"/>
    <mergeCell ref="AC42:AE42"/>
    <mergeCell ref="AG42:AI42"/>
    <mergeCell ref="AK42:AM42"/>
    <mergeCell ref="AQ42:AT42"/>
    <mergeCell ref="AV42:AX42"/>
    <mergeCell ref="AZ42:BB42"/>
    <mergeCell ref="CF63:CG63"/>
    <mergeCell ref="I144:AP144"/>
    <mergeCell ref="BZ147:CF147"/>
    <mergeCell ref="CO147:CZ147"/>
    <mergeCell ref="DB147:DI147"/>
    <mergeCell ref="I148:AP148"/>
    <mergeCell ref="AS148:BX148"/>
    <mergeCell ref="BZ148:CF148"/>
    <mergeCell ref="CO148:CZ148"/>
    <mergeCell ref="DB148:DI148"/>
    <mergeCell ref="I145:AP145"/>
    <mergeCell ref="AS145:BX145"/>
    <mergeCell ref="BZ145:CF145"/>
    <mergeCell ref="CO145:CZ145"/>
    <mergeCell ref="DB145:DI145"/>
    <mergeCell ref="I146:AP146"/>
    <mergeCell ref="AS146:BX146"/>
    <mergeCell ref="BZ146:CF146"/>
    <mergeCell ref="CO146:CZ146"/>
    <mergeCell ref="DB146:DI146"/>
    <mergeCell ref="CH146:CM146"/>
    <mergeCell ref="AS152:BX152"/>
    <mergeCell ref="CO152:CZ152"/>
    <mergeCell ref="DB152:DI152"/>
    <mergeCell ref="BZ153:CF153"/>
    <mergeCell ref="CO153:CZ153"/>
    <mergeCell ref="DB153:DI153"/>
    <mergeCell ref="I154:AP154"/>
    <mergeCell ref="AS154:BX154"/>
    <mergeCell ref="BZ154:CF154"/>
    <mergeCell ref="CO154:CZ154"/>
    <mergeCell ref="DB154:DI154"/>
    <mergeCell ref="I155:AP155"/>
    <mergeCell ref="AS155:BX155"/>
    <mergeCell ref="BZ155:CF155"/>
    <mergeCell ref="CO155:CZ155"/>
    <mergeCell ref="DB155:DI155"/>
    <mergeCell ref="I153:AP153"/>
    <mergeCell ref="AS153:BX153"/>
    <mergeCell ref="BZ156:CF156"/>
    <mergeCell ref="CO156:CZ156"/>
    <mergeCell ref="DB156:DI156"/>
    <mergeCell ref="I156:AP156"/>
    <mergeCell ref="AS156:BX156"/>
    <mergeCell ref="I157:AP157"/>
    <mergeCell ref="AS157:BX157"/>
    <mergeCell ref="BZ157:CF157"/>
    <mergeCell ref="CO157:CZ157"/>
    <mergeCell ref="DB157:DI157"/>
    <mergeCell ref="I158:AP158"/>
    <mergeCell ref="AS158:BX158"/>
    <mergeCell ref="BZ158:CF158"/>
    <mergeCell ref="CO158:CZ158"/>
    <mergeCell ref="DB158:DI158"/>
    <mergeCell ref="CO162:CZ162"/>
    <mergeCell ref="DB162:DI162"/>
    <mergeCell ref="I163:AP163"/>
    <mergeCell ref="AS163:BX163"/>
    <mergeCell ref="BZ163:CF163"/>
    <mergeCell ref="CO163:CZ163"/>
    <mergeCell ref="DB163:DI163"/>
    <mergeCell ref="BZ159:CF159"/>
    <mergeCell ref="CO159:CZ159"/>
    <mergeCell ref="DB159:DI159"/>
    <mergeCell ref="I160:AP160"/>
    <mergeCell ref="AS160:BX160"/>
    <mergeCell ref="BZ160:CF160"/>
    <mergeCell ref="CO160:CZ160"/>
    <mergeCell ref="DB160:DI160"/>
    <mergeCell ref="I161:AP161"/>
    <mergeCell ref="AS161:BX161"/>
    <mergeCell ref="BZ161:CF161"/>
    <mergeCell ref="CO161:CZ161"/>
    <mergeCell ref="DB161:DI161"/>
    <mergeCell ref="I159:AP159"/>
    <mergeCell ref="AS159:BX159"/>
    <mergeCell ref="I162:AP162"/>
    <mergeCell ref="AS162:BX162"/>
    <mergeCell ref="DB138:DI138"/>
    <mergeCell ref="DB139:DI139"/>
    <mergeCell ref="CO138:CZ138"/>
    <mergeCell ref="CO139:CZ139"/>
    <mergeCell ref="DK138:DP138"/>
    <mergeCell ref="DK139:DP139"/>
    <mergeCell ref="E138:AP139"/>
    <mergeCell ref="I171:AP171"/>
    <mergeCell ref="AS171:BX171"/>
    <mergeCell ref="BZ171:CF171"/>
    <mergeCell ref="CO171:CZ171"/>
    <mergeCell ref="DB171:DI171"/>
    <mergeCell ref="I164:AP164"/>
    <mergeCell ref="AS164:BX164"/>
    <mergeCell ref="BZ164:CF164"/>
    <mergeCell ref="CO164:CZ164"/>
    <mergeCell ref="DB164:DI164"/>
    <mergeCell ref="I165:AP165"/>
    <mergeCell ref="AS165:BX165"/>
    <mergeCell ref="CO165:CZ165"/>
    <mergeCell ref="DB165:DI165"/>
    <mergeCell ref="BZ165:CF165"/>
    <mergeCell ref="I166:AP166"/>
    <mergeCell ref="AS166:BX166"/>
    <mergeCell ref="DK180:DP180"/>
    <mergeCell ref="E178:H178"/>
    <mergeCell ref="I178:AP178"/>
    <mergeCell ref="AS178:BX178"/>
    <mergeCell ref="BZ178:CF178"/>
    <mergeCell ref="CH178:CM178"/>
    <mergeCell ref="CO178:CZ178"/>
    <mergeCell ref="DB178:DI178"/>
    <mergeCell ref="DK178:DP178"/>
    <mergeCell ref="E180:H180"/>
    <mergeCell ref="I180:AP180"/>
    <mergeCell ref="AS180:BX180"/>
    <mergeCell ref="BZ180:CF180"/>
    <mergeCell ref="CH180:CM180"/>
    <mergeCell ref="CO180:CZ180"/>
    <mergeCell ref="DB180:DI180"/>
    <mergeCell ref="BZ162:CF162"/>
    <mergeCell ref="E179:H179"/>
    <mergeCell ref="I179:AP179"/>
    <mergeCell ref="AS179:BX179"/>
    <mergeCell ref="BZ179:CF179"/>
    <mergeCell ref="CH179:CM179"/>
    <mergeCell ref="CO179:CZ179"/>
    <mergeCell ref="DB179:DI179"/>
    <mergeCell ref="DK179:DP179"/>
    <mergeCell ref="I176:AP176"/>
    <mergeCell ref="AS176:BX176"/>
    <mergeCell ref="BZ176:CF176"/>
    <mergeCell ref="CO176:CZ176"/>
    <mergeCell ref="DB176:DI176"/>
    <mergeCell ref="I177:AP177"/>
    <mergeCell ref="AS177:BX177"/>
    <mergeCell ref="BZ177:CF177"/>
    <mergeCell ref="CO177:CZ177"/>
    <mergeCell ref="DB177:DI177"/>
    <mergeCell ref="CO166:CZ166"/>
    <mergeCell ref="DB166:DI166"/>
    <mergeCell ref="I167:AP167"/>
    <mergeCell ref="I174:AP174"/>
    <mergeCell ref="AS174:BX174"/>
  </mergeCells>
  <conditionalFormatting sqref="CH182">
    <cfRule type="cellIs" dxfId="9" priority="7" operator="notEqual">
      <formula>$CH$183</formula>
    </cfRule>
  </conditionalFormatting>
  <conditionalFormatting sqref="DK182:DP182">
    <cfRule type="cellIs" dxfId="8" priority="2" operator="notEqual">
      <formula>100</formula>
    </cfRule>
  </conditionalFormatting>
  <conditionalFormatting sqref="DK188:DP188">
    <cfRule type="cellIs" dxfId="7" priority="4" operator="notEqual">
      <formula>60</formula>
    </cfRule>
  </conditionalFormatting>
  <conditionalFormatting sqref="DK190:DP190">
    <cfRule type="cellIs" dxfId="6" priority="3" operator="notEqual">
      <formula>40</formula>
    </cfRule>
  </conditionalFormatting>
  <conditionalFormatting sqref="DK192:DP192">
    <cfRule type="cellIs" dxfId="5" priority="5" operator="notEqual">
      <formula>100</formula>
    </cfRule>
  </conditionalFormatting>
  <dataValidations count="3">
    <dataValidation type="list" allowBlank="1" showInputMessage="1" showErrorMessage="1" sqref="CQ43 BV43:BY43 DK43:DM43 CH43 AC43 AK43 BN43:BP43 DB43 CQ63 BV63:BY63 DK63:DM63 CH63 AC63 AK63 BN63:BP63 DB63 BD63:BF63 BD43:BF43 AV63:AX63 AV43:AX43">
      <formula1>"08,09,10,11,12,13,14,15,16,17,18,19,20,21,22"</formula1>
    </dataValidation>
    <dataValidation type="list" allowBlank="1" showInputMessage="1" showErrorMessage="1" sqref="AZ43:BB43 BR43:BT43 CC43 DF43:DH43 CW43 AG43 CL43 Y43 AQ43:AT43 AZ63:BB63 BR63:BT63 CC63 DF63:DH63 CW63 AG63 CL63 Y63 AQ63:AT63 BJ63:BL63 BJ43:BL43">
      <formula1>"00,15,30,45"</formula1>
    </dataValidation>
    <dataValidation type="list" allowBlank="1" showInputMessage="1" showErrorMessage="1" sqref="BZ141 BZ142:CF161 BZ162:CE180">
      <formula1>"الأول,الثاني,الثالث,الرابع,الخامس,السادس,السابع,الثامن,التاسع,العاشر,الحادي عشر,الثاني عشر,الثالث عشر"</formula1>
    </dataValidation>
  </dataValidations>
  <hyperlinks>
    <hyperlink ref="CJ22" r:id="rId1"/>
  </hyperlinks>
  <printOptions horizontalCentered="1"/>
  <pageMargins left="0.11811023622047245" right="0.11811023622047245" top="0.11811023622047245" bottom="0.11811023622047245" header="0.31496062992125984" footer="0.31496062992125984"/>
  <pageSetup paperSize="9" scale="92" fitToWidth="0" fitToHeight="0" orientation="portrait" r:id="rId2"/>
  <rowBreaks count="1" manualBreakCount="1">
    <brk id="196" min="1" max="122" man="1"/>
  </rowBreaks>
  <drawing r:id="rId3"/>
  <legacyDrawing r:id="rId4"/>
  <mc:AlternateContent xmlns:mc="http://schemas.openxmlformats.org/markup-compatibility/2006">
    <mc:Choice Requires="x14">
      <controls>
        <mc:AlternateContent xmlns:mc="http://schemas.openxmlformats.org/markup-compatibility/2006">
          <mc:Choice Requires="x14">
            <control shapeId="24577" r:id="rId5" name="Check Box 1">
              <controlPr defaultSize="0" autoFill="0" autoLine="0" autoPict="0">
                <anchor moveWithCells="1">
                  <from>
                    <xdr:col>24</xdr:col>
                    <xdr:colOff>19050</xdr:colOff>
                    <xdr:row>30</xdr:row>
                    <xdr:rowOff>123825</xdr:rowOff>
                  </from>
                  <to>
                    <xdr:col>32</xdr:col>
                    <xdr:colOff>9525</xdr:colOff>
                    <xdr:row>32</xdr:row>
                    <xdr:rowOff>19050</xdr:rowOff>
                  </to>
                </anchor>
              </controlPr>
            </control>
          </mc:Choice>
        </mc:AlternateContent>
        <mc:AlternateContent xmlns:mc="http://schemas.openxmlformats.org/markup-compatibility/2006">
          <mc:Choice Requires="x14">
            <control shapeId="24578" r:id="rId6" name="Check Box 2">
              <controlPr defaultSize="0" autoFill="0" autoLine="0" autoPict="0">
                <anchor moveWithCells="1">
                  <from>
                    <xdr:col>64</xdr:col>
                    <xdr:colOff>0</xdr:colOff>
                    <xdr:row>30</xdr:row>
                    <xdr:rowOff>133350</xdr:rowOff>
                  </from>
                  <to>
                    <xdr:col>80</xdr:col>
                    <xdr:colOff>57150</xdr:colOff>
                    <xdr:row>32</xdr:row>
                    <xdr:rowOff>28575</xdr:rowOff>
                  </to>
                </anchor>
              </controlPr>
            </control>
          </mc:Choice>
        </mc:AlternateContent>
        <mc:AlternateContent xmlns:mc="http://schemas.openxmlformats.org/markup-compatibility/2006">
          <mc:Choice Requires="x14">
            <control shapeId="24579" r:id="rId7" name="Check Box 3">
              <controlPr defaultSize="0" autoFill="0" autoLine="0" autoPict="0" altText="أخرى">
                <anchor moveWithCells="1">
                  <from>
                    <xdr:col>85</xdr:col>
                    <xdr:colOff>19050</xdr:colOff>
                    <xdr:row>30</xdr:row>
                    <xdr:rowOff>133350</xdr:rowOff>
                  </from>
                  <to>
                    <xdr:col>94</xdr:col>
                    <xdr:colOff>19050</xdr:colOff>
                    <xdr:row>32</xdr:row>
                    <xdr:rowOff>19050</xdr:rowOff>
                  </to>
                </anchor>
              </controlPr>
            </control>
          </mc:Choice>
        </mc:AlternateContent>
        <mc:AlternateContent xmlns:mc="http://schemas.openxmlformats.org/markup-compatibility/2006">
          <mc:Choice Requires="x14">
            <control shapeId="24580" r:id="rId8" name="Check Box 4">
              <controlPr defaultSize="0" autoFill="0" autoLine="0" autoPict="0">
                <anchor moveWithCells="1">
                  <from>
                    <xdr:col>24</xdr:col>
                    <xdr:colOff>19050</xdr:colOff>
                    <xdr:row>50</xdr:row>
                    <xdr:rowOff>123825</xdr:rowOff>
                  </from>
                  <to>
                    <xdr:col>32</xdr:col>
                    <xdr:colOff>0</xdr:colOff>
                    <xdr:row>52</xdr:row>
                    <xdr:rowOff>19050</xdr:rowOff>
                  </to>
                </anchor>
              </controlPr>
            </control>
          </mc:Choice>
        </mc:AlternateContent>
        <mc:AlternateContent xmlns:mc="http://schemas.openxmlformats.org/markup-compatibility/2006">
          <mc:Choice Requires="x14">
            <control shapeId="24581" r:id="rId9" name="Check Box 5">
              <controlPr defaultSize="0" autoFill="0" autoLine="0" autoPict="0">
                <anchor moveWithCells="1">
                  <from>
                    <xdr:col>64</xdr:col>
                    <xdr:colOff>0</xdr:colOff>
                    <xdr:row>50</xdr:row>
                    <xdr:rowOff>133350</xdr:rowOff>
                  </from>
                  <to>
                    <xdr:col>80</xdr:col>
                    <xdr:colOff>38100</xdr:colOff>
                    <xdr:row>52</xdr:row>
                    <xdr:rowOff>28575</xdr:rowOff>
                  </to>
                </anchor>
              </controlPr>
            </control>
          </mc:Choice>
        </mc:AlternateContent>
        <mc:AlternateContent xmlns:mc="http://schemas.openxmlformats.org/markup-compatibility/2006">
          <mc:Choice Requires="x14">
            <control shapeId="24582" r:id="rId10" name="Check Box 6">
              <controlPr defaultSize="0" autoFill="0" autoLine="0" autoPict="0" altText="أخرى">
                <anchor moveWithCells="1">
                  <from>
                    <xdr:col>85</xdr:col>
                    <xdr:colOff>19050</xdr:colOff>
                    <xdr:row>50</xdr:row>
                    <xdr:rowOff>133350</xdr:rowOff>
                  </from>
                  <to>
                    <xdr:col>94</xdr:col>
                    <xdr:colOff>19050</xdr:colOff>
                    <xdr:row>52</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14:formula1>
            <xm:f>Data!$H$2:$H$5</xm:f>
          </x14:formula1>
          <xm:sqref>CJ79:DN79</xm:sqref>
        </x14:dataValidation>
        <x14:dataValidation type="list" allowBlank="1" showInputMessage="1" showErrorMessage="1">
          <x14:formula1>
            <xm:f>Data!$F$2:$F$10</xm:f>
          </x14:formula1>
          <xm:sqref>CJ83:DN83</xm:sqref>
        </x14:dataValidation>
        <x14:dataValidation type="list" allowBlank="1" showInputMessage="1" showErrorMessage="1">
          <x14:formula1>
            <xm:f>Data!$G$2:$G$13</xm:f>
          </x14:formula1>
          <xm:sqref>CJ91:DN91 CJ87:DN87 CH141:CM141</xm:sqref>
        </x14:dataValidation>
        <x14:dataValidation type="list" allowBlank="1" showInputMessage="1" showErrorMessage="1">
          <x14:formula1>
            <xm:f>Data!$C$2:$C$12</xm:f>
          </x14:formula1>
          <xm:sqref>DB141:DB143 DB144:DH176 DB177 DB178:DH179 DB180</xm:sqref>
        </x14:dataValidation>
        <x14:dataValidation type="list" allowBlank="1" showInputMessage="1" showErrorMessage="1">
          <x14:formula1>
            <xm:f>Data!$K$2:$K$12</xm:f>
          </x14:formula1>
          <xm:sqref>CO141:CO180</xm:sqref>
        </x14:dataValidation>
        <x14:dataValidation type="list" allowBlank="1" showInputMessage="1" showErrorMessage="1">
          <x14:formula1>
            <xm:f>Data!$D$2:$D$4</xm:f>
          </x14:formula1>
          <xm:sqref>W95:AZ95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ورقة1">
    <tabColor rgb="FF00B050"/>
  </sheetPr>
  <dimension ref="A1:AAI226"/>
  <sheetViews>
    <sheetView showGridLines="0" showRowColHeaders="0" rightToLeft="1" topLeftCell="A172" zoomScale="85" zoomScaleNormal="85" zoomScaleSheetLayoutView="100" workbookViewId="0">
      <selection activeCell="DT144" sqref="DT144"/>
    </sheetView>
  </sheetViews>
  <sheetFormatPr defaultColWidth="0" defaultRowHeight="15" customHeight="1" zeroHeight="1"/>
  <cols>
    <col min="1" max="1" width="2.5703125" customWidth="1"/>
    <col min="2" max="2" width="0.85546875" customWidth="1"/>
    <col min="3" max="5" width="0.7109375" customWidth="1"/>
    <col min="6" max="42" width="0.85546875" customWidth="1"/>
    <col min="43" max="43" width="0.140625" customWidth="1"/>
    <col min="44" max="44" width="0.5703125" customWidth="1"/>
    <col min="45" max="75" width="0.85546875" customWidth="1"/>
    <col min="76" max="76" width="0.7109375" customWidth="1"/>
    <col min="77" max="77" width="0.140625" customWidth="1"/>
    <col min="78" max="83" width="0.85546875" customWidth="1"/>
    <col min="84" max="84" width="0.5703125" customWidth="1"/>
    <col min="85" max="85" width="0.140625" customWidth="1"/>
    <col min="86" max="90" width="0.85546875" customWidth="1"/>
    <col min="91" max="91" width="0.5703125" customWidth="1"/>
    <col min="92" max="92" width="0.140625" customWidth="1"/>
    <col min="93" max="103" width="0.85546875" customWidth="1"/>
    <col min="104" max="104" width="0.5703125" customWidth="1"/>
    <col min="105" max="105" width="0.140625" customWidth="1"/>
    <col min="106" max="112" width="0.85546875" customWidth="1"/>
    <col min="113" max="113" width="0.5703125" customWidth="1"/>
    <col min="114" max="114" width="0.140625" customWidth="1"/>
    <col min="115" max="119" width="0.85546875" customWidth="1"/>
    <col min="120" max="123" width="0.7109375" customWidth="1"/>
    <col min="124" max="124" width="2.5703125" customWidth="1"/>
    <col min="125" max="16384" width="9" hidden="1"/>
  </cols>
  <sheetData>
    <row r="1" spans="1:175" ht="15" customHeight="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3"/>
      <c r="DE1" s="3"/>
      <c r="DF1" s="3"/>
      <c r="DG1" s="3"/>
      <c r="DH1" s="3"/>
      <c r="DI1" s="3"/>
      <c r="DJ1" s="3"/>
      <c r="DK1" s="4"/>
      <c r="DL1" s="4"/>
      <c r="DM1" s="4"/>
      <c r="DN1" s="4"/>
      <c r="DO1" s="4"/>
      <c r="DP1" s="4"/>
      <c r="DQ1" s="4"/>
      <c r="DR1" s="4"/>
      <c r="DS1" s="4"/>
      <c r="DT1" s="4"/>
    </row>
    <row r="2" spans="1:175" s="5" customFormat="1" ht="20.100000000000001" customHeight="1">
      <c r="BU2" s="140" t="s">
        <v>924</v>
      </c>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row>
    <row r="3" spans="1:175" s="5" customFormat="1" ht="17.45" customHeight="1">
      <c r="BU3" s="140"/>
      <c r="BV3" s="140"/>
      <c r="BW3" s="140"/>
      <c r="BX3" s="140"/>
      <c r="BY3" s="140"/>
      <c r="BZ3" s="140"/>
      <c r="CA3" s="140"/>
      <c r="CB3" s="140"/>
      <c r="CC3" s="140"/>
      <c r="CD3" s="140"/>
      <c r="CE3" s="140"/>
      <c r="CF3" s="140"/>
      <c r="CG3" s="140"/>
      <c r="CH3" s="140"/>
      <c r="CI3" s="140"/>
      <c r="CJ3" s="140"/>
      <c r="CK3" s="140"/>
      <c r="CL3" s="140"/>
      <c r="CM3" s="140"/>
      <c r="CN3" s="140"/>
      <c r="CO3" s="140"/>
      <c r="CP3" s="140"/>
      <c r="CQ3" s="140"/>
      <c r="CR3" s="140"/>
      <c r="CS3" s="140"/>
      <c r="CT3" s="140"/>
      <c r="CU3" s="140"/>
      <c r="CV3" s="140"/>
      <c r="CW3" s="140"/>
      <c r="CX3" s="140"/>
      <c r="CY3" s="140"/>
      <c r="CZ3" s="140"/>
      <c r="DA3" s="140"/>
      <c r="DB3" s="140"/>
      <c r="DC3" s="140"/>
      <c r="DD3" s="140"/>
      <c r="DE3" s="140"/>
      <c r="DF3" s="140"/>
      <c r="DG3" s="140"/>
      <c r="DH3" s="140"/>
      <c r="DI3" s="140"/>
      <c r="DJ3" s="140"/>
      <c r="DK3" s="140"/>
      <c r="DL3" s="140"/>
      <c r="DM3" s="140"/>
      <c r="DN3" s="140"/>
      <c r="DO3" s="140"/>
      <c r="DP3" s="140"/>
      <c r="DQ3" s="140"/>
      <c r="DR3" s="140"/>
      <c r="DS3" s="140"/>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row>
    <row r="4" spans="1:175" s="5" customFormat="1" ht="9.9499999999999993" customHeight="1">
      <c r="BU4" s="140"/>
      <c r="BV4" s="140"/>
      <c r="BW4" s="140"/>
      <c r="BX4" s="140"/>
      <c r="BY4" s="140"/>
      <c r="BZ4" s="140"/>
      <c r="CA4" s="140"/>
      <c r="CB4" s="140"/>
      <c r="CC4" s="140"/>
      <c r="CD4" s="140"/>
      <c r="CE4" s="140"/>
      <c r="CF4" s="140"/>
      <c r="CG4" s="140"/>
      <c r="CH4" s="140"/>
      <c r="CI4" s="140"/>
      <c r="CJ4" s="140"/>
      <c r="CK4" s="140"/>
      <c r="CL4" s="140"/>
      <c r="CM4" s="140"/>
      <c r="CN4" s="140"/>
      <c r="CO4" s="140"/>
      <c r="CP4" s="140"/>
      <c r="CQ4" s="140"/>
      <c r="CR4" s="140"/>
      <c r="CS4" s="140"/>
      <c r="CT4" s="140"/>
      <c r="CU4" s="140"/>
      <c r="CV4" s="140"/>
      <c r="CW4" s="140"/>
      <c r="CX4" s="140"/>
      <c r="CY4" s="140"/>
      <c r="CZ4" s="140"/>
      <c r="DA4" s="140"/>
      <c r="DB4" s="140"/>
      <c r="DC4" s="140"/>
      <c r="DD4" s="140"/>
      <c r="DE4" s="140"/>
      <c r="DF4" s="140"/>
      <c r="DG4" s="140"/>
      <c r="DH4" s="140"/>
      <c r="DI4" s="140"/>
      <c r="DJ4" s="140"/>
      <c r="DK4" s="140"/>
      <c r="DL4" s="140"/>
      <c r="DM4" s="140"/>
      <c r="DN4" s="140"/>
      <c r="DO4" s="140"/>
      <c r="DP4" s="140"/>
      <c r="DQ4" s="140"/>
      <c r="DR4" s="140"/>
      <c r="DS4" s="140"/>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row>
    <row r="5" spans="1:175" s="5" customFormat="1" ht="9.9499999999999993" customHeight="1">
      <c r="O5" s="202" t="s">
        <v>925</v>
      </c>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114"/>
      <c r="BR5" s="114"/>
      <c r="BS5" s="6"/>
      <c r="BT5" s="6"/>
      <c r="BU5" s="142" t="s">
        <v>926</v>
      </c>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c r="CY5" s="142"/>
      <c r="CZ5" s="142"/>
      <c r="DA5" s="142"/>
      <c r="DB5" s="142"/>
      <c r="DC5" s="142"/>
      <c r="DD5" s="142"/>
      <c r="DE5" s="142"/>
      <c r="DF5" s="142"/>
      <c r="DG5" s="142"/>
      <c r="DH5" s="142"/>
      <c r="DI5" s="142"/>
      <c r="DJ5" s="142"/>
      <c r="DK5" s="142"/>
      <c r="DL5" s="142"/>
      <c r="DM5" s="142"/>
      <c r="DN5" s="142"/>
      <c r="DO5" s="142"/>
      <c r="DP5" s="142"/>
      <c r="DQ5" s="142"/>
      <c r="DR5" s="142"/>
      <c r="DS5" s="142"/>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row>
    <row r="6" spans="1:175" s="5" customFormat="1" ht="20.100000000000001" customHeight="1">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114"/>
      <c r="BR6" s="114"/>
      <c r="BS6" s="6"/>
      <c r="BT6" s="6"/>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c r="CS6" s="142"/>
      <c r="CT6" s="142"/>
      <c r="CU6" s="142"/>
      <c r="CV6" s="142"/>
      <c r="CW6" s="142"/>
      <c r="CX6" s="142"/>
      <c r="CY6" s="142"/>
      <c r="CZ6" s="142"/>
      <c r="DA6" s="142"/>
      <c r="DB6" s="142"/>
      <c r="DC6" s="142"/>
      <c r="DD6" s="142"/>
      <c r="DE6" s="142"/>
      <c r="DF6" s="142"/>
      <c r="DG6" s="142"/>
      <c r="DH6" s="142"/>
      <c r="DI6" s="142"/>
      <c r="DJ6" s="142"/>
      <c r="DK6" s="142"/>
      <c r="DL6" s="142"/>
      <c r="DM6" s="142"/>
      <c r="DN6" s="142"/>
      <c r="DO6" s="142"/>
      <c r="DP6" s="142"/>
      <c r="DQ6" s="142"/>
      <c r="DR6" s="142"/>
      <c r="DS6" s="142"/>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row>
    <row r="7" spans="1:175" s="5" customFormat="1" ht="2.4500000000000002" customHeight="1">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c r="BF7" s="87"/>
      <c r="BG7" s="87"/>
      <c r="BH7" s="87"/>
      <c r="BI7" s="87"/>
      <c r="BJ7" s="87"/>
      <c r="BK7" s="87"/>
      <c r="BL7" s="87"/>
      <c r="BM7" s="87"/>
      <c r="BN7" s="87"/>
      <c r="BO7" s="87"/>
      <c r="BP7" s="6"/>
      <c r="BQ7" s="6"/>
      <c r="BR7" s="6"/>
      <c r="BS7" s="6"/>
      <c r="BT7" s="6"/>
      <c r="BU7" s="6"/>
      <c r="BV7" s="6"/>
      <c r="BW7" s="6"/>
      <c r="BX7" s="6"/>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row>
    <row r="8" spans="1:175" s="5" customFormat="1" ht="2.1" customHeight="1" thickBot="1">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DK8" s="8"/>
      <c r="DL8" s="8"/>
      <c r="DM8" s="8"/>
      <c r="DN8" s="8"/>
      <c r="DO8" s="8"/>
      <c r="DP8" s="9"/>
      <c r="DQ8" s="9"/>
      <c r="DR8" s="9"/>
      <c r="DS8" s="9"/>
    </row>
    <row r="9" spans="1:175" s="5" customFormat="1" ht="5.0999999999999996" customHeight="1" thickTop="1">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row>
    <row r="10" spans="1:175" s="5" customFormat="1" ht="15" customHeight="1">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row>
    <row r="11" spans="1:175" s="5" customFormat="1" ht="42" customHeight="1">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row>
    <row r="12" spans="1:175" s="17" customFormat="1" ht="15" customHeight="1">
      <c r="A12" s="14"/>
      <c r="B12" s="11"/>
      <c r="C12" s="15"/>
      <c r="D12" s="15"/>
      <c r="E12" s="15"/>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24"/>
      <c r="DP12" s="15"/>
      <c r="DQ12" s="15"/>
      <c r="DR12" s="15"/>
      <c r="DS12" s="12"/>
      <c r="DT12" s="16"/>
    </row>
    <row r="13" spans="1:175" ht="5.0999999999999996" customHeight="1" thickBot="1">
      <c r="A13" s="12"/>
      <c r="B13" s="18"/>
      <c r="C13" s="19"/>
      <c r="D13" s="19"/>
      <c r="E13" s="19"/>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19"/>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19"/>
      <c r="DQ13" s="19"/>
      <c r="DR13" s="19"/>
      <c r="DS13" s="12"/>
      <c r="DT13" s="13"/>
    </row>
    <row r="14" spans="1:175" ht="30" customHeight="1" thickTop="1" thickBot="1">
      <c r="A14" s="12"/>
      <c r="B14" s="18"/>
      <c r="C14" s="19"/>
      <c r="D14" s="19"/>
      <c r="E14" s="19"/>
      <c r="F14" s="133" t="s">
        <v>927</v>
      </c>
      <c r="G14" s="133"/>
      <c r="H14" s="133"/>
      <c r="I14" s="133"/>
      <c r="J14" s="133"/>
      <c r="K14" s="133"/>
      <c r="L14" s="133"/>
      <c r="M14" s="133"/>
      <c r="N14" s="133"/>
      <c r="O14" s="133"/>
      <c r="P14" s="133"/>
      <c r="Q14" s="133"/>
      <c r="R14" s="133"/>
      <c r="S14" s="133"/>
      <c r="T14" s="133"/>
      <c r="U14" s="133"/>
      <c r="V14" s="133"/>
      <c r="W14" s="203" t="s">
        <v>1102</v>
      </c>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c r="BF14" s="204"/>
      <c r="BG14" s="204"/>
      <c r="BH14" s="204"/>
      <c r="BI14" s="204"/>
      <c r="BJ14" s="204"/>
      <c r="BK14" s="204"/>
      <c r="BL14" s="204"/>
      <c r="BM14" s="204"/>
      <c r="BN14" s="204"/>
      <c r="BO14" s="204"/>
      <c r="BP14" s="205"/>
      <c r="BQ14" s="20"/>
      <c r="BR14" s="19"/>
      <c r="BS14" s="133" t="s">
        <v>12</v>
      </c>
      <c r="BT14" s="133"/>
      <c r="BU14" s="133"/>
      <c r="BV14" s="133"/>
      <c r="BW14" s="133"/>
      <c r="BX14" s="133"/>
      <c r="BY14" s="133"/>
      <c r="BZ14" s="133"/>
      <c r="CA14" s="133"/>
      <c r="CB14" s="133"/>
      <c r="CC14" s="133"/>
      <c r="CD14" s="133"/>
      <c r="CE14" s="133"/>
      <c r="CF14" s="133"/>
      <c r="CG14" s="133"/>
      <c r="CH14" s="133"/>
      <c r="CI14" s="133"/>
      <c r="CJ14" s="203" t="s">
        <v>1103</v>
      </c>
      <c r="CK14" s="204"/>
      <c r="CL14" s="204"/>
      <c r="CM14" s="204"/>
      <c r="CN14" s="204"/>
      <c r="CO14" s="204"/>
      <c r="CP14" s="204"/>
      <c r="CQ14" s="204"/>
      <c r="CR14" s="204"/>
      <c r="CS14" s="204"/>
      <c r="CT14" s="204"/>
      <c r="CU14" s="204"/>
      <c r="CV14" s="204"/>
      <c r="CW14" s="204"/>
      <c r="CX14" s="204"/>
      <c r="CY14" s="204"/>
      <c r="CZ14" s="204"/>
      <c r="DA14" s="204"/>
      <c r="DB14" s="204"/>
      <c r="DC14" s="204"/>
      <c r="DD14" s="204"/>
      <c r="DE14" s="204"/>
      <c r="DF14" s="204"/>
      <c r="DG14" s="204"/>
      <c r="DH14" s="204"/>
      <c r="DI14" s="204"/>
      <c r="DJ14" s="204"/>
      <c r="DK14" s="204"/>
      <c r="DL14" s="204"/>
      <c r="DM14" s="204"/>
      <c r="DN14" s="205"/>
      <c r="DO14" s="20"/>
      <c r="DP14" s="19"/>
      <c r="DQ14" s="19"/>
      <c r="DR14" s="19"/>
      <c r="DS14" s="12"/>
      <c r="DT14" s="13"/>
    </row>
    <row r="15" spans="1:175" ht="5.0999999999999996" customHeight="1" thickTop="1">
      <c r="A15" s="12"/>
      <c r="B15" s="18"/>
      <c r="C15" s="19"/>
      <c r="D15" s="19"/>
      <c r="E15" s="19"/>
      <c r="F15" s="53"/>
      <c r="G15" s="53"/>
      <c r="H15" s="53"/>
      <c r="I15" s="53"/>
      <c r="J15" s="53"/>
      <c r="K15" s="53"/>
      <c r="L15" s="53"/>
      <c r="M15" s="53"/>
      <c r="N15" s="53"/>
      <c r="O15" s="53"/>
      <c r="P15" s="53"/>
      <c r="Q15" s="53"/>
      <c r="R15" s="53"/>
      <c r="S15" s="53"/>
      <c r="T15" s="53"/>
      <c r="U15" s="53"/>
      <c r="V15" s="53"/>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19"/>
      <c r="BS15" s="55"/>
      <c r="BT15" s="55"/>
      <c r="BU15" s="55"/>
      <c r="BV15" s="55"/>
      <c r="BW15" s="55"/>
      <c r="BX15" s="55"/>
      <c r="BY15" s="55"/>
      <c r="BZ15" s="55"/>
      <c r="CA15" s="55"/>
      <c r="CB15" s="55"/>
      <c r="CC15" s="55"/>
      <c r="CD15" s="55"/>
      <c r="CE15" s="55"/>
      <c r="CF15" s="55"/>
      <c r="CG15" s="55"/>
      <c r="CH15" s="55"/>
      <c r="CI15" s="55"/>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19"/>
      <c r="DQ15" s="19"/>
      <c r="DR15" s="19"/>
      <c r="DS15" s="12"/>
      <c r="DT15" s="13"/>
    </row>
    <row r="16" spans="1:175" ht="5.0999999999999996" customHeight="1">
      <c r="A16" s="12"/>
      <c r="B16" s="18"/>
      <c r="C16" s="19"/>
      <c r="D16" s="19"/>
      <c r="E16" s="19"/>
      <c r="F16" s="54"/>
      <c r="G16" s="54"/>
      <c r="H16" s="54"/>
      <c r="I16" s="54"/>
      <c r="J16" s="54"/>
      <c r="K16" s="54"/>
      <c r="L16" s="54"/>
      <c r="M16" s="54"/>
      <c r="N16" s="54"/>
      <c r="O16" s="54"/>
      <c r="P16" s="54"/>
      <c r="Q16" s="54"/>
      <c r="R16" s="54"/>
      <c r="S16" s="54"/>
      <c r="T16" s="54"/>
      <c r="U16" s="54"/>
      <c r="V16" s="54"/>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56"/>
      <c r="BT16" s="56"/>
      <c r="BU16" s="56"/>
      <c r="BV16" s="56"/>
      <c r="BW16" s="56"/>
      <c r="BX16" s="56"/>
      <c r="BY16" s="56"/>
      <c r="BZ16" s="56"/>
      <c r="CA16" s="56"/>
      <c r="CB16" s="56"/>
      <c r="CC16" s="56"/>
      <c r="CD16" s="56"/>
      <c r="CE16" s="56"/>
      <c r="CF16" s="56"/>
      <c r="CG16" s="56"/>
      <c r="CH16" s="56"/>
      <c r="CI16" s="56"/>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2"/>
      <c r="DT16" s="13"/>
    </row>
    <row r="17" spans="1:711" ht="5.0999999999999996" customHeight="1" thickBot="1">
      <c r="A17" s="12"/>
      <c r="B17" s="18"/>
      <c r="C17" s="19"/>
      <c r="D17" s="19"/>
      <c r="E17" s="19"/>
      <c r="F17" s="53"/>
      <c r="G17" s="53"/>
      <c r="H17" s="53"/>
      <c r="I17" s="53"/>
      <c r="J17" s="53"/>
      <c r="K17" s="53"/>
      <c r="L17" s="53"/>
      <c r="M17" s="53"/>
      <c r="N17" s="53"/>
      <c r="O17" s="53"/>
      <c r="P17" s="53"/>
      <c r="Q17" s="53"/>
      <c r="R17" s="53"/>
      <c r="S17" s="53"/>
      <c r="T17" s="53"/>
      <c r="U17" s="53"/>
      <c r="V17" s="53"/>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19"/>
      <c r="BS17" s="55"/>
      <c r="BT17" s="55"/>
      <c r="BU17" s="55"/>
      <c r="BV17" s="55"/>
      <c r="BW17" s="55"/>
      <c r="BX17" s="55"/>
      <c r="BY17" s="55"/>
      <c r="BZ17" s="55"/>
      <c r="CA17" s="55"/>
      <c r="CB17" s="55"/>
      <c r="CC17" s="55"/>
      <c r="CD17" s="55"/>
      <c r="CE17" s="55"/>
      <c r="CF17" s="55"/>
      <c r="CG17" s="55"/>
      <c r="CH17" s="55"/>
      <c r="CI17" s="55"/>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19"/>
      <c r="DQ17" s="19"/>
      <c r="DR17" s="19"/>
      <c r="DS17" s="12"/>
      <c r="DT17" s="13"/>
    </row>
    <row r="18" spans="1:711" ht="30" customHeight="1" thickTop="1" thickBot="1">
      <c r="A18" s="12"/>
      <c r="B18" s="18"/>
      <c r="C18" s="19"/>
      <c r="D18" s="19"/>
      <c r="E18" s="19"/>
      <c r="F18" s="133" t="s">
        <v>928</v>
      </c>
      <c r="G18" s="133"/>
      <c r="H18" s="133"/>
      <c r="I18" s="133"/>
      <c r="J18" s="133"/>
      <c r="K18" s="133"/>
      <c r="L18" s="133"/>
      <c r="M18" s="133"/>
      <c r="N18" s="133"/>
      <c r="O18" s="133"/>
      <c r="P18" s="133"/>
      <c r="Q18" s="133"/>
      <c r="R18" s="133"/>
      <c r="S18" s="133"/>
      <c r="T18" s="133"/>
      <c r="U18" s="133"/>
      <c r="V18" s="133"/>
      <c r="W18" s="203" t="s">
        <v>1104</v>
      </c>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c r="BF18" s="204"/>
      <c r="BG18" s="204"/>
      <c r="BH18" s="204"/>
      <c r="BI18" s="204"/>
      <c r="BJ18" s="204"/>
      <c r="BK18" s="204"/>
      <c r="BL18" s="204"/>
      <c r="BM18" s="204"/>
      <c r="BN18" s="204"/>
      <c r="BO18" s="204"/>
      <c r="BP18" s="205"/>
      <c r="BQ18" s="20"/>
      <c r="BR18" s="19"/>
      <c r="BS18" s="133" t="s">
        <v>13</v>
      </c>
      <c r="BT18" s="133"/>
      <c r="BU18" s="133"/>
      <c r="BV18" s="133"/>
      <c r="BW18" s="133"/>
      <c r="BX18" s="133"/>
      <c r="BY18" s="133"/>
      <c r="BZ18" s="133"/>
      <c r="CA18" s="133"/>
      <c r="CB18" s="133"/>
      <c r="CC18" s="133"/>
      <c r="CD18" s="133"/>
      <c r="CE18" s="133"/>
      <c r="CF18" s="133"/>
      <c r="CG18" s="133"/>
      <c r="CH18" s="133"/>
      <c r="CI18" s="133"/>
      <c r="CJ18" s="203" t="s">
        <v>1105</v>
      </c>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5"/>
      <c r="DO18" s="20"/>
      <c r="DP18" s="19"/>
      <c r="DQ18" s="19"/>
      <c r="DR18" s="19"/>
      <c r="DS18" s="12"/>
      <c r="DT18" s="13"/>
    </row>
    <row r="19" spans="1:711" ht="5.0999999999999996" customHeight="1" thickTop="1">
      <c r="A19" s="12"/>
      <c r="B19" s="18"/>
      <c r="C19" s="19"/>
      <c r="D19" s="19"/>
      <c r="E19" s="19"/>
      <c r="F19" s="53"/>
      <c r="G19" s="53"/>
      <c r="H19" s="53"/>
      <c r="I19" s="53"/>
      <c r="J19" s="53"/>
      <c r="K19" s="53"/>
      <c r="L19" s="53"/>
      <c r="M19" s="53"/>
      <c r="N19" s="53"/>
      <c r="O19" s="53"/>
      <c r="P19" s="53"/>
      <c r="Q19" s="53"/>
      <c r="R19" s="53"/>
      <c r="S19" s="53"/>
      <c r="T19" s="53"/>
      <c r="U19" s="53"/>
      <c r="V19" s="53"/>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19"/>
      <c r="BS19" s="55"/>
      <c r="BT19" s="55"/>
      <c r="BU19" s="55"/>
      <c r="BV19" s="55"/>
      <c r="BW19" s="55"/>
      <c r="BX19" s="55"/>
      <c r="BY19" s="55"/>
      <c r="BZ19" s="55"/>
      <c r="CA19" s="55"/>
      <c r="CB19" s="55"/>
      <c r="CC19" s="55"/>
      <c r="CD19" s="55"/>
      <c r="CE19" s="55"/>
      <c r="CF19" s="55"/>
      <c r="CG19" s="55"/>
      <c r="CH19" s="55"/>
      <c r="CI19" s="55"/>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19"/>
      <c r="DQ19" s="19"/>
      <c r="DR19" s="19"/>
      <c r="DS19" s="12"/>
      <c r="DT19" s="13"/>
    </row>
    <row r="20" spans="1:711" ht="5.0999999999999996" customHeight="1">
      <c r="A20" s="12"/>
      <c r="B20" s="18"/>
      <c r="C20" s="19"/>
      <c r="D20" s="19"/>
      <c r="E20" s="19"/>
      <c r="F20" s="54"/>
      <c r="G20" s="54"/>
      <c r="H20" s="54"/>
      <c r="I20" s="54"/>
      <c r="J20" s="54"/>
      <c r="K20" s="54"/>
      <c r="L20" s="54"/>
      <c r="M20" s="54"/>
      <c r="N20" s="54"/>
      <c r="O20" s="54"/>
      <c r="P20" s="54"/>
      <c r="Q20" s="54"/>
      <c r="R20" s="54"/>
      <c r="S20" s="54"/>
      <c r="T20" s="54"/>
      <c r="U20" s="54"/>
      <c r="V20" s="54"/>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56"/>
      <c r="BT20" s="56"/>
      <c r="BU20" s="56"/>
      <c r="BV20" s="56"/>
      <c r="BW20" s="56"/>
      <c r="BX20" s="56"/>
      <c r="BY20" s="56"/>
      <c r="BZ20" s="56"/>
      <c r="CA20" s="56"/>
      <c r="CB20" s="56"/>
      <c r="CC20" s="56"/>
      <c r="CD20" s="56"/>
      <c r="CE20" s="56"/>
      <c r="CF20" s="56"/>
      <c r="CG20" s="56"/>
      <c r="CH20" s="56"/>
      <c r="CI20" s="56"/>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2"/>
      <c r="DT20" s="13"/>
    </row>
    <row r="21" spans="1:711" ht="5.0999999999999996" customHeight="1" thickBot="1">
      <c r="A21" s="12"/>
      <c r="B21" s="18"/>
      <c r="C21" s="19"/>
      <c r="D21" s="19"/>
      <c r="E21" s="19"/>
      <c r="F21" s="53"/>
      <c r="G21" s="53"/>
      <c r="H21" s="53"/>
      <c r="I21" s="53"/>
      <c r="J21" s="53"/>
      <c r="K21" s="53"/>
      <c r="L21" s="53"/>
      <c r="M21" s="53"/>
      <c r="N21" s="53"/>
      <c r="O21" s="53"/>
      <c r="P21" s="53"/>
      <c r="Q21" s="53"/>
      <c r="R21" s="53"/>
      <c r="S21" s="53"/>
      <c r="T21" s="53"/>
      <c r="U21" s="53"/>
      <c r="V21" s="53"/>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19"/>
      <c r="BS21" s="55"/>
      <c r="BT21" s="55"/>
      <c r="BU21" s="55"/>
      <c r="BV21" s="55"/>
      <c r="BW21" s="55"/>
      <c r="BX21" s="55"/>
      <c r="BY21" s="55"/>
      <c r="BZ21" s="55"/>
      <c r="CA21" s="55"/>
      <c r="CB21" s="55"/>
      <c r="CC21" s="55"/>
      <c r="CD21" s="55"/>
      <c r="CE21" s="55"/>
      <c r="CF21" s="55"/>
      <c r="CG21" s="55"/>
      <c r="CH21" s="55"/>
      <c r="CI21" s="55"/>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19"/>
      <c r="DQ21" s="19"/>
      <c r="DR21" s="19"/>
      <c r="DS21" s="12"/>
      <c r="DT21" s="13"/>
    </row>
    <row r="22" spans="1:711" ht="30" customHeight="1" thickTop="1" thickBot="1">
      <c r="A22" s="12"/>
      <c r="B22" s="18"/>
      <c r="C22" s="19"/>
      <c r="D22" s="19"/>
      <c r="E22" s="19"/>
      <c r="F22" s="133" t="s">
        <v>930</v>
      </c>
      <c r="G22" s="133"/>
      <c r="H22" s="133"/>
      <c r="I22" s="133"/>
      <c r="J22" s="133"/>
      <c r="K22" s="133"/>
      <c r="L22" s="133"/>
      <c r="M22" s="133"/>
      <c r="N22" s="133"/>
      <c r="O22" s="133"/>
      <c r="P22" s="133"/>
      <c r="Q22" s="133"/>
      <c r="R22" s="133"/>
      <c r="S22" s="133"/>
      <c r="T22" s="133"/>
      <c r="U22" s="133"/>
      <c r="V22" s="133"/>
      <c r="W22" s="203" t="s">
        <v>1106</v>
      </c>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c r="BF22" s="204"/>
      <c r="BG22" s="204"/>
      <c r="BH22" s="204"/>
      <c r="BI22" s="204"/>
      <c r="BJ22" s="204"/>
      <c r="BK22" s="204"/>
      <c r="BL22" s="204"/>
      <c r="BM22" s="204"/>
      <c r="BN22" s="204"/>
      <c r="BO22" s="204"/>
      <c r="BP22" s="205"/>
      <c r="BQ22" s="20"/>
      <c r="BR22" s="19"/>
      <c r="BS22" s="133" t="s">
        <v>932</v>
      </c>
      <c r="BT22" s="133"/>
      <c r="BU22" s="133"/>
      <c r="BV22" s="133"/>
      <c r="BW22" s="133"/>
      <c r="BX22" s="133"/>
      <c r="BY22" s="133"/>
      <c r="BZ22" s="133"/>
      <c r="CA22" s="133"/>
      <c r="CB22" s="133"/>
      <c r="CC22" s="133"/>
      <c r="CD22" s="133"/>
      <c r="CE22" s="133"/>
      <c r="CF22" s="133"/>
      <c r="CG22" s="133"/>
      <c r="CH22" s="133"/>
      <c r="CI22" s="137"/>
      <c r="CJ22" s="203" t="s">
        <v>1107</v>
      </c>
      <c r="CK22" s="204"/>
      <c r="CL22" s="204"/>
      <c r="CM22" s="204"/>
      <c r="CN22" s="204"/>
      <c r="CO22" s="204"/>
      <c r="CP22" s="204"/>
      <c r="CQ22" s="204"/>
      <c r="CR22" s="204"/>
      <c r="CS22" s="204"/>
      <c r="CT22" s="204"/>
      <c r="CU22" s="204"/>
      <c r="CV22" s="204"/>
      <c r="CW22" s="204"/>
      <c r="CX22" s="204"/>
      <c r="CY22" s="204"/>
      <c r="CZ22" s="204"/>
      <c r="DA22" s="204"/>
      <c r="DB22" s="204"/>
      <c r="DC22" s="204"/>
      <c r="DD22" s="204"/>
      <c r="DE22" s="204"/>
      <c r="DF22" s="204"/>
      <c r="DG22" s="204"/>
      <c r="DH22" s="204"/>
      <c r="DI22" s="204"/>
      <c r="DJ22" s="204"/>
      <c r="DK22" s="204"/>
      <c r="DL22" s="204"/>
      <c r="DM22" s="204"/>
      <c r="DN22" s="205"/>
      <c r="DO22" s="20"/>
      <c r="DP22" s="19"/>
      <c r="DQ22" s="19"/>
      <c r="DR22" s="19"/>
      <c r="DS22" s="12"/>
      <c r="DT22" s="13"/>
    </row>
    <row r="23" spans="1:711" ht="5.0999999999999996" customHeight="1" thickTop="1">
      <c r="A23" s="12"/>
      <c r="B23" s="18"/>
      <c r="C23" s="19"/>
      <c r="D23" s="19"/>
      <c r="E23" s="19"/>
      <c r="F23" s="53"/>
      <c r="G23" s="53"/>
      <c r="H23" s="53"/>
      <c r="I23" s="53"/>
      <c r="J23" s="53"/>
      <c r="K23" s="53"/>
      <c r="L23" s="53"/>
      <c r="M23" s="53"/>
      <c r="N23" s="53"/>
      <c r="O23" s="53"/>
      <c r="P23" s="53"/>
      <c r="Q23" s="53"/>
      <c r="R23" s="53"/>
      <c r="S23" s="53"/>
      <c r="T23" s="53"/>
      <c r="U23" s="53"/>
      <c r="V23" s="53"/>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19"/>
      <c r="BS23" s="55"/>
      <c r="BT23" s="55"/>
      <c r="BU23" s="55"/>
      <c r="BV23" s="55"/>
      <c r="BW23" s="55"/>
      <c r="BX23" s="55"/>
      <c r="BY23" s="55"/>
      <c r="BZ23" s="55"/>
      <c r="CA23" s="55"/>
      <c r="CB23" s="55"/>
      <c r="CC23" s="55"/>
      <c r="CD23" s="55"/>
      <c r="CE23" s="55"/>
      <c r="CF23" s="55"/>
      <c r="CG23" s="55"/>
      <c r="CH23" s="55"/>
      <c r="CI23" s="55"/>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19"/>
      <c r="DQ23" s="19"/>
      <c r="DR23" s="19"/>
      <c r="DS23" s="12"/>
      <c r="DT23" s="13"/>
    </row>
    <row r="24" spans="1:711" ht="15" customHeight="1">
      <c r="A24" s="12"/>
      <c r="B24" s="18"/>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2"/>
      <c r="DT24" s="13"/>
    </row>
    <row r="25" spans="1:711" ht="5.0999999999999996"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3"/>
    </row>
    <row r="26" spans="1:711" ht="1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3"/>
    </row>
    <row r="27" spans="1:711" s="5" customFormat="1" ht="42" customHeight="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row>
    <row r="28" spans="1:711" ht="15" customHeight="1">
      <c r="A28" s="12"/>
      <c r="B28" s="18"/>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2"/>
      <c r="DT28" s="13"/>
    </row>
    <row r="29" spans="1:711" ht="5.0999999999999996" customHeight="1">
      <c r="A29" s="12"/>
      <c r="B29" s="18"/>
      <c r="C29" s="19"/>
      <c r="D29" s="19"/>
      <c r="E29" s="19"/>
      <c r="F29" s="72"/>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c r="CC29" s="71"/>
      <c r="CD29" s="71"/>
      <c r="CE29" s="71"/>
      <c r="CF29" s="71"/>
      <c r="CG29" s="71"/>
      <c r="CH29" s="71"/>
      <c r="CI29" s="71"/>
      <c r="CJ29" s="71"/>
      <c r="CK29" s="71"/>
      <c r="CL29" s="71"/>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5"/>
      <c r="DP29" s="19"/>
      <c r="DQ29" s="19"/>
      <c r="DR29" s="19"/>
      <c r="DS29" s="12"/>
      <c r="DT29" s="13"/>
    </row>
    <row r="30" spans="1:711" ht="5.0999999999999996" customHeight="1">
      <c r="A30" s="12"/>
      <c r="B30" s="18"/>
      <c r="C30" s="19"/>
      <c r="D30" s="19"/>
      <c r="E30" s="19"/>
      <c r="F30" s="73"/>
      <c r="G30" s="143" t="s">
        <v>934</v>
      </c>
      <c r="H30" s="144"/>
      <c r="I30" s="144"/>
      <c r="J30" s="144"/>
      <c r="K30" s="144"/>
      <c r="L30" s="144"/>
      <c r="M30" s="144"/>
      <c r="N30" s="144"/>
      <c r="O30" s="144"/>
      <c r="P30" s="144"/>
      <c r="Q30" s="144"/>
      <c r="R30" s="144"/>
      <c r="S30" s="144"/>
      <c r="T30" s="144"/>
      <c r="U30" s="144"/>
      <c r="V30" s="145"/>
      <c r="W30" s="19"/>
      <c r="X30" s="97"/>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39"/>
      <c r="CY30" s="39"/>
      <c r="CZ30" s="39"/>
      <c r="DA30" s="39"/>
      <c r="DB30" s="39"/>
      <c r="DC30" s="39"/>
      <c r="DD30" s="39"/>
      <c r="DE30" s="39"/>
      <c r="DF30" s="39"/>
      <c r="DG30" s="39"/>
      <c r="DH30" s="39"/>
      <c r="DI30" s="39"/>
      <c r="DJ30" s="39"/>
      <c r="DK30" s="39"/>
      <c r="DL30" s="39"/>
      <c r="DM30" s="39"/>
      <c r="DN30" s="40"/>
      <c r="DO30" s="76"/>
      <c r="DP30" s="19"/>
      <c r="DQ30" s="19"/>
      <c r="DR30" s="19"/>
      <c r="DS30" s="13"/>
    </row>
    <row r="31" spans="1:711" ht="12" customHeight="1">
      <c r="A31" s="12"/>
      <c r="B31" s="18"/>
      <c r="C31" s="19"/>
      <c r="D31" s="19"/>
      <c r="E31" s="19"/>
      <c r="F31" s="73"/>
      <c r="G31" s="146"/>
      <c r="H31" s="147"/>
      <c r="I31" s="147"/>
      <c r="J31" s="147"/>
      <c r="K31" s="147"/>
      <c r="L31" s="147"/>
      <c r="M31" s="147"/>
      <c r="N31" s="147"/>
      <c r="O31" s="147"/>
      <c r="P31" s="147"/>
      <c r="Q31" s="147"/>
      <c r="R31" s="147"/>
      <c r="S31" s="147"/>
      <c r="T31" s="147"/>
      <c r="U31" s="147"/>
      <c r="V31" s="148"/>
      <c r="W31" s="19"/>
      <c r="X31" s="98"/>
      <c r="Y31" s="69"/>
      <c r="Z31" s="69"/>
      <c r="AA31" s="69"/>
      <c r="AB31" s="69"/>
      <c r="AC31" s="69"/>
      <c r="AD31" s="69"/>
      <c r="AE31" s="23"/>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c r="DI31" s="69"/>
      <c r="DJ31" s="69"/>
      <c r="DK31" s="69"/>
      <c r="DL31" s="69"/>
      <c r="DM31" s="69"/>
      <c r="DN31" s="34"/>
      <c r="DO31" s="76"/>
      <c r="DP31" s="19"/>
      <c r="DQ31" s="19"/>
      <c r="DR31" s="19"/>
      <c r="DS31" s="13"/>
      <c r="AAI31" t="b">
        <v>1</v>
      </c>
    </row>
    <row r="32" spans="1:711" ht="20.100000000000001" customHeight="1">
      <c r="A32" s="12"/>
      <c r="B32" s="18"/>
      <c r="C32" s="19"/>
      <c r="D32" s="19"/>
      <c r="E32" s="19"/>
      <c r="F32" s="73"/>
      <c r="G32" s="146"/>
      <c r="H32" s="147"/>
      <c r="I32" s="147"/>
      <c r="J32" s="147"/>
      <c r="K32" s="147"/>
      <c r="L32" s="147"/>
      <c r="M32" s="147"/>
      <c r="N32" s="147"/>
      <c r="O32" s="147"/>
      <c r="P32" s="147"/>
      <c r="Q32" s="147"/>
      <c r="R32" s="147"/>
      <c r="S32" s="147"/>
      <c r="T32" s="147"/>
      <c r="U32" s="147"/>
      <c r="V32" s="148"/>
      <c r="W32" s="19"/>
      <c r="X32" s="98"/>
      <c r="Y32" s="69"/>
      <c r="Z32" s="69"/>
      <c r="AA32" s="26"/>
      <c r="AB32" s="69"/>
      <c r="AC32" s="69"/>
      <c r="AD32" s="69"/>
      <c r="AE32" s="23"/>
      <c r="AF32" s="69"/>
      <c r="AG32" s="128" t="s">
        <v>935</v>
      </c>
      <c r="AH32" s="128"/>
      <c r="AI32" s="152" t="str">
        <f>IF($AAI$31=TRUE,$CJ$22,IF($AAI$31=FALSE,"",""))</f>
        <v>اسم المستخدم@tvtc.gov.sa</v>
      </c>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69" t="s">
        <v>936</v>
      </c>
      <c r="BJ32" s="69"/>
      <c r="BK32" s="70" t="s">
        <v>937</v>
      </c>
      <c r="BL32" s="69"/>
      <c r="BM32" s="69"/>
      <c r="BN32" s="69"/>
      <c r="BO32" s="69"/>
      <c r="BP32" s="69"/>
      <c r="BQ32" s="69"/>
      <c r="BR32" s="69"/>
      <c r="BS32" s="69"/>
      <c r="BT32" s="69"/>
      <c r="BU32" s="69"/>
      <c r="BV32" s="69"/>
      <c r="BW32" s="69"/>
      <c r="BX32" s="69"/>
      <c r="BY32" s="69"/>
      <c r="BZ32" s="69"/>
      <c r="CA32" s="69"/>
      <c r="CB32" s="69"/>
      <c r="CC32" s="69"/>
      <c r="CD32" s="69"/>
      <c r="CE32" s="70" t="s">
        <v>937</v>
      </c>
      <c r="CF32" s="69"/>
      <c r="CG32" s="69"/>
      <c r="CH32" s="69"/>
      <c r="CI32" s="69"/>
      <c r="CJ32" s="69"/>
      <c r="CK32" s="69"/>
      <c r="CL32" s="69"/>
      <c r="CM32" s="69"/>
      <c r="CN32" s="69"/>
      <c r="CO32" s="130" t="s">
        <v>935</v>
      </c>
      <c r="CP32" s="130"/>
      <c r="CQ32" s="130"/>
      <c r="CR32" s="206" t="s">
        <v>938</v>
      </c>
      <c r="CS32" s="206"/>
      <c r="CT32" s="206"/>
      <c r="CU32" s="206"/>
      <c r="CV32" s="206"/>
      <c r="CW32" s="206"/>
      <c r="CX32" s="206"/>
      <c r="CY32" s="206"/>
      <c r="CZ32" s="206"/>
      <c r="DA32" s="206"/>
      <c r="DB32" s="206"/>
      <c r="DC32" s="206"/>
      <c r="DD32" s="206"/>
      <c r="DE32" s="206"/>
      <c r="DF32" s="206"/>
      <c r="DG32" s="206"/>
      <c r="DH32" s="206"/>
      <c r="DI32" s="206"/>
      <c r="DJ32" s="206"/>
      <c r="DK32" s="206"/>
      <c r="DL32" s="153" t="s">
        <v>936</v>
      </c>
      <c r="DM32" s="153"/>
      <c r="DN32" s="34"/>
      <c r="DO32" s="76"/>
      <c r="DP32" s="19"/>
      <c r="DQ32" s="19"/>
      <c r="DR32" s="19"/>
      <c r="DS32" s="13"/>
    </row>
    <row r="33" spans="1:124" ht="12" customHeight="1">
      <c r="A33" s="12"/>
      <c r="B33" s="18"/>
      <c r="C33" s="19"/>
      <c r="D33" s="19"/>
      <c r="E33" s="19"/>
      <c r="F33" s="73"/>
      <c r="G33" s="146"/>
      <c r="H33" s="147"/>
      <c r="I33" s="147"/>
      <c r="J33" s="147"/>
      <c r="K33" s="147"/>
      <c r="L33" s="147"/>
      <c r="M33" s="147"/>
      <c r="N33" s="147"/>
      <c r="O33" s="147"/>
      <c r="P33" s="147"/>
      <c r="Q33" s="147"/>
      <c r="R33" s="147"/>
      <c r="S33" s="147"/>
      <c r="T33" s="147"/>
      <c r="U33" s="147"/>
      <c r="V33" s="148"/>
      <c r="W33" s="19"/>
      <c r="X33" s="98"/>
      <c r="Y33" s="69"/>
      <c r="Z33" s="69"/>
      <c r="AA33" s="26"/>
      <c r="AB33" s="69"/>
      <c r="AC33" s="69"/>
      <c r="AD33" s="69"/>
      <c r="AE33" s="23"/>
      <c r="AF33" s="69"/>
      <c r="AG33" s="69"/>
      <c r="AH33" s="69"/>
      <c r="AI33" s="26"/>
      <c r="AJ33" s="26"/>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26"/>
      <c r="DC33" s="69"/>
      <c r="DD33" s="69"/>
      <c r="DE33" s="69"/>
      <c r="DF33" s="69"/>
      <c r="DG33" s="69"/>
      <c r="DH33" s="69"/>
      <c r="DI33" s="26"/>
      <c r="DJ33" s="26"/>
      <c r="DK33" s="69"/>
      <c r="DL33" s="69"/>
      <c r="DM33" s="69"/>
      <c r="DN33" s="34"/>
      <c r="DO33" s="76"/>
      <c r="DP33" s="19"/>
      <c r="DQ33" s="19"/>
      <c r="DR33" s="19"/>
      <c r="DS33" s="13"/>
    </row>
    <row r="34" spans="1:124" ht="5.0999999999999996" customHeight="1">
      <c r="A34" s="12"/>
      <c r="B34" s="18"/>
      <c r="C34" s="19"/>
      <c r="D34" s="19"/>
      <c r="E34" s="19"/>
      <c r="F34" s="73"/>
      <c r="G34" s="146"/>
      <c r="H34" s="147"/>
      <c r="I34" s="147"/>
      <c r="J34" s="147"/>
      <c r="K34" s="147"/>
      <c r="L34" s="147"/>
      <c r="M34" s="147"/>
      <c r="N34" s="147"/>
      <c r="O34" s="147"/>
      <c r="P34" s="147"/>
      <c r="Q34" s="147"/>
      <c r="R34" s="147"/>
      <c r="S34" s="147"/>
      <c r="T34" s="147"/>
      <c r="U34" s="147"/>
      <c r="V34" s="148"/>
      <c r="W34" s="19"/>
      <c r="X34" s="99"/>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7"/>
      <c r="DO34" s="76"/>
      <c r="DP34" s="19"/>
      <c r="DQ34" s="19"/>
      <c r="DR34" s="19"/>
      <c r="DS34" s="13"/>
    </row>
    <row r="35" spans="1:124" ht="5.0999999999999996" customHeight="1">
      <c r="A35" s="12"/>
      <c r="B35" s="18"/>
      <c r="C35" s="19"/>
      <c r="D35" s="19"/>
      <c r="E35" s="19"/>
      <c r="F35" s="73"/>
      <c r="G35" s="146"/>
      <c r="H35" s="147"/>
      <c r="I35" s="147"/>
      <c r="J35" s="147"/>
      <c r="K35" s="147"/>
      <c r="L35" s="147"/>
      <c r="M35" s="147"/>
      <c r="N35" s="147"/>
      <c r="O35" s="147"/>
      <c r="P35" s="147"/>
      <c r="Q35" s="147"/>
      <c r="R35" s="147"/>
      <c r="S35" s="147"/>
      <c r="T35" s="147"/>
      <c r="U35" s="147"/>
      <c r="V35" s="148"/>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76"/>
      <c r="DP35" s="19"/>
      <c r="DQ35" s="19"/>
      <c r="DR35" s="19"/>
      <c r="DS35" s="13"/>
    </row>
    <row r="36" spans="1:124" ht="30" customHeight="1">
      <c r="A36" s="12"/>
      <c r="B36" s="18"/>
      <c r="C36" s="19"/>
      <c r="D36" s="19"/>
      <c r="E36" s="19"/>
      <c r="F36" s="73"/>
      <c r="G36" s="146"/>
      <c r="H36" s="147"/>
      <c r="I36" s="147"/>
      <c r="J36" s="147"/>
      <c r="K36" s="147"/>
      <c r="L36" s="147"/>
      <c r="M36" s="147"/>
      <c r="N36" s="147"/>
      <c r="O36" s="147"/>
      <c r="P36" s="147"/>
      <c r="Q36" s="147"/>
      <c r="R36" s="147"/>
      <c r="S36" s="147"/>
      <c r="T36" s="147"/>
      <c r="U36" s="147"/>
      <c r="V36" s="148"/>
      <c r="W36" s="19"/>
      <c r="X36" s="154" t="s">
        <v>939</v>
      </c>
      <c r="Y36" s="155"/>
      <c r="Z36" s="155"/>
      <c r="AA36" s="155"/>
      <c r="AB36" s="155"/>
      <c r="AC36" s="155"/>
      <c r="AD36" s="155"/>
      <c r="AE36" s="155"/>
      <c r="AF36" s="155"/>
      <c r="AG36" s="155"/>
      <c r="AH36" s="155"/>
      <c r="AI36" s="155"/>
      <c r="AJ36" s="155"/>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155"/>
      <c r="BS36" s="155"/>
      <c r="BT36" s="155"/>
      <c r="BU36" s="155"/>
      <c r="BV36" s="155"/>
      <c r="BW36" s="155"/>
      <c r="BX36" s="155"/>
      <c r="BY36" s="155"/>
      <c r="BZ36" s="155"/>
      <c r="CA36" s="155"/>
      <c r="CB36" s="155"/>
      <c r="CC36" s="155"/>
      <c r="CD36" s="155"/>
      <c r="CE36" s="155"/>
      <c r="CF36" s="155"/>
      <c r="CG36" s="155"/>
      <c r="CH36" s="155"/>
      <c r="CI36" s="155"/>
      <c r="CJ36" s="155"/>
      <c r="CK36" s="155"/>
      <c r="CL36" s="155"/>
      <c r="CM36" s="155"/>
      <c r="CN36" s="155"/>
      <c r="CO36" s="155"/>
      <c r="CP36" s="155"/>
      <c r="CQ36" s="155"/>
      <c r="CR36" s="155"/>
      <c r="CS36" s="155"/>
      <c r="CT36" s="155"/>
      <c r="CU36" s="155"/>
      <c r="CV36" s="155"/>
      <c r="CW36" s="155"/>
      <c r="CX36" s="155"/>
      <c r="CY36" s="155"/>
      <c r="CZ36" s="155"/>
      <c r="DA36" s="155"/>
      <c r="DB36" s="155"/>
      <c r="DC36" s="155"/>
      <c r="DD36" s="155"/>
      <c r="DE36" s="155"/>
      <c r="DF36" s="155"/>
      <c r="DG36" s="155"/>
      <c r="DH36" s="155"/>
      <c r="DI36" s="155"/>
      <c r="DJ36" s="155"/>
      <c r="DK36" s="155"/>
      <c r="DL36" s="155"/>
      <c r="DM36" s="155"/>
      <c r="DN36" s="156"/>
      <c r="DO36" s="76"/>
      <c r="DP36" s="19"/>
      <c r="DQ36" s="19"/>
      <c r="DR36" s="19"/>
      <c r="DS36" s="13"/>
    </row>
    <row r="37" spans="1:124" ht="5.0999999999999996" customHeight="1">
      <c r="A37" s="12"/>
      <c r="B37" s="18"/>
      <c r="C37" s="19"/>
      <c r="D37" s="19"/>
      <c r="E37" s="19"/>
      <c r="F37" s="73"/>
      <c r="G37" s="146"/>
      <c r="H37" s="147"/>
      <c r="I37" s="147"/>
      <c r="J37" s="147"/>
      <c r="K37" s="147"/>
      <c r="L37" s="147"/>
      <c r="M37" s="147"/>
      <c r="N37" s="147"/>
      <c r="O37" s="147"/>
      <c r="P37" s="147"/>
      <c r="Q37" s="147"/>
      <c r="R37" s="147"/>
      <c r="S37" s="147"/>
      <c r="T37" s="147"/>
      <c r="U37" s="147"/>
      <c r="V37" s="148"/>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76"/>
      <c r="DP37" s="19"/>
      <c r="DQ37" s="19"/>
      <c r="DR37" s="19"/>
      <c r="DS37" s="13"/>
    </row>
    <row r="38" spans="1:124" ht="30" customHeight="1">
      <c r="A38" s="12"/>
      <c r="B38" s="18"/>
      <c r="C38" s="19"/>
      <c r="D38" s="19"/>
      <c r="E38" s="19"/>
      <c r="F38" s="73"/>
      <c r="G38" s="146"/>
      <c r="H38" s="147"/>
      <c r="I38" s="147"/>
      <c r="J38" s="147"/>
      <c r="K38" s="147"/>
      <c r="L38" s="147"/>
      <c r="M38" s="147"/>
      <c r="N38" s="147"/>
      <c r="O38" s="147"/>
      <c r="P38" s="147"/>
      <c r="Q38" s="147"/>
      <c r="R38" s="147"/>
      <c r="S38" s="147"/>
      <c r="T38" s="147"/>
      <c r="U38" s="147"/>
      <c r="V38" s="148"/>
      <c r="W38" s="19"/>
      <c r="X38" s="157" t="s">
        <v>940</v>
      </c>
      <c r="Y38" s="158"/>
      <c r="Z38" s="158"/>
      <c r="AA38" s="158"/>
      <c r="AB38" s="158"/>
      <c r="AC38" s="158"/>
      <c r="AD38" s="158"/>
      <c r="AE38" s="158"/>
      <c r="AF38" s="158"/>
      <c r="AG38" s="158"/>
      <c r="AH38" s="158"/>
      <c r="AI38" s="158"/>
      <c r="AJ38" s="158"/>
      <c r="AK38" s="158"/>
      <c r="AL38" s="158"/>
      <c r="AM38" s="158"/>
      <c r="AN38" s="159"/>
      <c r="AO38" s="19"/>
      <c r="AP38" s="157" t="s">
        <v>941</v>
      </c>
      <c r="AQ38" s="158"/>
      <c r="AR38" s="158"/>
      <c r="AS38" s="158"/>
      <c r="AT38" s="158"/>
      <c r="AU38" s="158"/>
      <c r="AV38" s="158"/>
      <c r="AW38" s="158"/>
      <c r="AX38" s="158"/>
      <c r="AY38" s="158"/>
      <c r="AZ38" s="158"/>
      <c r="BA38" s="158"/>
      <c r="BB38" s="158"/>
      <c r="BC38" s="158"/>
      <c r="BD38" s="158"/>
      <c r="BE38" s="158"/>
      <c r="BF38" s="158"/>
      <c r="BG38" s="159"/>
      <c r="BH38" s="19"/>
      <c r="BI38" s="157" t="s">
        <v>942</v>
      </c>
      <c r="BJ38" s="158"/>
      <c r="BK38" s="158"/>
      <c r="BL38" s="158"/>
      <c r="BM38" s="158"/>
      <c r="BN38" s="158"/>
      <c r="BO38" s="158"/>
      <c r="BP38" s="158"/>
      <c r="BQ38" s="158"/>
      <c r="BR38" s="158"/>
      <c r="BS38" s="158"/>
      <c r="BT38" s="158"/>
      <c r="BU38" s="158"/>
      <c r="BV38" s="158"/>
      <c r="BW38" s="158"/>
      <c r="BX38" s="158"/>
      <c r="BY38" s="158"/>
      <c r="BZ38" s="159"/>
      <c r="CA38" s="19"/>
      <c r="CB38" s="157" t="s">
        <v>943</v>
      </c>
      <c r="CC38" s="158"/>
      <c r="CD38" s="158"/>
      <c r="CE38" s="158"/>
      <c r="CF38" s="158"/>
      <c r="CG38" s="158"/>
      <c r="CH38" s="158"/>
      <c r="CI38" s="158"/>
      <c r="CJ38" s="158"/>
      <c r="CK38" s="158"/>
      <c r="CL38" s="158"/>
      <c r="CM38" s="158"/>
      <c r="CN38" s="158"/>
      <c r="CO38" s="158"/>
      <c r="CP38" s="158"/>
      <c r="CQ38" s="158"/>
      <c r="CR38" s="158"/>
      <c r="CS38" s="158"/>
      <c r="CT38" s="159"/>
      <c r="CU38" s="19"/>
      <c r="CV38" s="157" t="s">
        <v>944</v>
      </c>
      <c r="CW38" s="158"/>
      <c r="CX38" s="158"/>
      <c r="CY38" s="158"/>
      <c r="CZ38" s="158"/>
      <c r="DA38" s="158"/>
      <c r="DB38" s="158"/>
      <c r="DC38" s="158"/>
      <c r="DD38" s="158"/>
      <c r="DE38" s="158"/>
      <c r="DF38" s="158"/>
      <c r="DG38" s="158"/>
      <c r="DH38" s="158"/>
      <c r="DI38" s="158"/>
      <c r="DJ38" s="158"/>
      <c r="DK38" s="158"/>
      <c r="DL38" s="158"/>
      <c r="DM38" s="158"/>
      <c r="DN38" s="159"/>
      <c r="DO38" s="76"/>
      <c r="DP38" s="19"/>
      <c r="DQ38" s="19"/>
      <c r="DR38" s="19"/>
      <c r="DS38" s="13"/>
    </row>
    <row r="39" spans="1:124" ht="5.0999999999999996" customHeight="1">
      <c r="A39" s="12"/>
      <c r="B39" s="18"/>
      <c r="C39" s="19"/>
      <c r="D39" s="19"/>
      <c r="E39" s="19"/>
      <c r="F39" s="73"/>
      <c r="G39" s="146"/>
      <c r="H39" s="147"/>
      <c r="I39" s="147"/>
      <c r="J39" s="147"/>
      <c r="K39" s="147"/>
      <c r="L39" s="147"/>
      <c r="M39" s="147"/>
      <c r="N39" s="147"/>
      <c r="O39" s="147"/>
      <c r="P39" s="147"/>
      <c r="Q39" s="147"/>
      <c r="R39" s="147"/>
      <c r="S39" s="147"/>
      <c r="T39" s="147"/>
      <c r="U39" s="147"/>
      <c r="V39" s="148"/>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76"/>
      <c r="DP39" s="19"/>
      <c r="DQ39" s="19"/>
      <c r="DR39" s="19"/>
      <c r="DS39" s="13"/>
    </row>
    <row r="40" spans="1:124" ht="5.0999999999999996" customHeight="1">
      <c r="A40" s="12"/>
      <c r="B40" s="18"/>
      <c r="C40" s="19"/>
      <c r="D40" s="19"/>
      <c r="E40" s="19"/>
      <c r="F40" s="73"/>
      <c r="G40" s="146"/>
      <c r="H40" s="147"/>
      <c r="I40" s="147"/>
      <c r="J40" s="147"/>
      <c r="K40" s="147"/>
      <c r="L40" s="147"/>
      <c r="M40" s="147"/>
      <c r="N40" s="147"/>
      <c r="O40" s="147"/>
      <c r="P40" s="147"/>
      <c r="Q40" s="147"/>
      <c r="R40" s="147"/>
      <c r="S40" s="147"/>
      <c r="T40" s="147"/>
      <c r="U40" s="147"/>
      <c r="V40" s="148"/>
      <c r="W40" s="19"/>
      <c r="X40" s="38"/>
      <c r="Y40" s="39"/>
      <c r="Z40" s="39"/>
      <c r="AA40" s="39"/>
      <c r="AB40" s="39"/>
      <c r="AC40" s="39"/>
      <c r="AD40" s="39"/>
      <c r="AE40" s="39"/>
      <c r="AF40" s="39"/>
      <c r="AG40" s="39"/>
      <c r="AH40" s="39"/>
      <c r="AI40" s="39"/>
      <c r="AJ40" s="39"/>
      <c r="AK40" s="39"/>
      <c r="AL40" s="39"/>
      <c r="AM40" s="39"/>
      <c r="AN40" s="40"/>
      <c r="AO40" s="19"/>
      <c r="AP40" s="38"/>
      <c r="AQ40" s="39"/>
      <c r="AR40" s="39"/>
      <c r="AS40" s="39"/>
      <c r="AT40" s="39"/>
      <c r="AU40" s="39"/>
      <c r="AV40" s="39"/>
      <c r="AW40" s="39"/>
      <c r="AX40" s="39"/>
      <c r="AY40" s="39"/>
      <c r="AZ40" s="39"/>
      <c r="BA40" s="39"/>
      <c r="BB40" s="39"/>
      <c r="BC40" s="39"/>
      <c r="BD40" s="39"/>
      <c r="BE40" s="39"/>
      <c r="BF40" s="39"/>
      <c r="BG40" s="40"/>
      <c r="BH40" s="19"/>
      <c r="BI40" s="38"/>
      <c r="BJ40" s="39"/>
      <c r="BK40" s="39"/>
      <c r="BL40" s="39"/>
      <c r="BM40" s="39"/>
      <c r="BN40" s="39"/>
      <c r="BO40" s="39"/>
      <c r="BP40" s="39"/>
      <c r="BQ40" s="39"/>
      <c r="BR40" s="39"/>
      <c r="BS40" s="39"/>
      <c r="BT40" s="39"/>
      <c r="BU40" s="39"/>
      <c r="BV40" s="39"/>
      <c r="BW40" s="39"/>
      <c r="BX40" s="39"/>
      <c r="BY40" s="39"/>
      <c r="BZ40" s="40"/>
      <c r="CA40" s="19"/>
      <c r="CB40" s="38"/>
      <c r="CC40" s="39"/>
      <c r="CD40" s="39"/>
      <c r="CE40" s="39"/>
      <c r="CF40" s="39"/>
      <c r="CG40" s="39"/>
      <c r="CH40" s="39"/>
      <c r="CI40" s="39"/>
      <c r="CJ40" s="39"/>
      <c r="CK40" s="39"/>
      <c r="CL40" s="39"/>
      <c r="CM40" s="39"/>
      <c r="CN40" s="39"/>
      <c r="CO40" s="39"/>
      <c r="CP40" s="39"/>
      <c r="CQ40" s="39"/>
      <c r="CR40" s="39"/>
      <c r="CS40" s="39"/>
      <c r="CT40" s="40"/>
      <c r="CU40" s="19"/>
      <c r="CV40" s="38"/>
      <c r="CW40" s="39"/>
      <c r="CX40" s="39"/>
      <c r="CY40" s="39"/>
      <c r="CZ40" s="39"/>
      <c r="DA40" s="39"/>
      <c r="DB40" s="39"/>
      <c r="DC40" s="39"/>
      <c r="DD40" s="39"/>
      <c r="DE40" s="39"/>
      <c r="DF40" s="39"/>
      <c r="DG40" s="39"/>
      <c r="DH40" s="39"/>
      <c r="DI40" s="39"/>
      <c r="DJ40" s="39"/>
      <c r="DK40" s="39"/>
      <c r="DL40" s="39"/>
      <c r="DM40" s="39"/>
      <c r="DN40" s="40"/>
      <c r="DO40" s="76"/>
      <c r="DP40" s="19"/>
      <c r="DQ40" s="19"/>
      <c r="DR40" s="19"/>
      <c r="DS40" s="13"/>
    </row>
    <row r="41" spans="1:124" ht="12" customHeight="1">
      <c r="A41" s="12"/>
      <c r="B41" s="18"/>
      <c r="C41" s="19"/>
      <c r="D41" s="19"/>
      <c r="E41" s="19"/>
      <c r="F41" s="73"/>
      <c r="G41" s="146"/>
      <c r="H41" s="147"/>
      <c r="I41" s="147"/>
      <c r="J41" s="147"/>
      <c r="K41" s="147"/>
      <c r="L41" s="147"/>
      <c r="M41" s="147"/>
      <c r="N41" s="147"/>
      <c r="O41" s="147"/>
      <c r="P41" s="147"/>
      <c r="Q41" s="147"/>
      <c r="R41" s="147"/>
      <c r="S41" s="147"/>
      <c r="T41" s="147"/>
      <c r="U41" s="147"/>
      <c r="V41" s="148"/>
      <c r="W41" s="19"/>
      <c r="X41" s="33"/>
      <c r="Y41" s="128" t="s">
        <v>945</v>
      </c>
      <c r="Z41" s="128"/>
      <c r="AA41" s="128"/>
      <c r="AB41" s="128"/>
      <c r="AC41" s="128"/>
      <c r="AD41" s="128"/>
      <c r="AE41" s="128"/>
      <c r="AF41" s="23" t="s">
        <v>937</v>
      </c>
      <c r="AG41" s="128" t="s">
        <v>946</v>
      </c>
      <c r="AH41" s="128"/>
      <c r="AI41" s="128"/>
      <c r="AJ41" s="128"/>
      <c r="AK41" s="128"/>
      <c r="AL41" s="128"/>
      <c r="AM41" s="128"/>
      <c r="AN41" s="34"/>
      <c r="AO41" s="19"/>
      <c r="AP41" s="33"/>
      <c r="AQ41" s="128" t="s">
        <v>945</v>
      </c>
      <c r="AR41" s="128"/>
      <c r="AS41" s="128"/>
      <c r="AT41" s="128"/>
      <c r="AU41" s="128"/>
      <c r="AV41" s="128"/>
      <c r="AW41" s="128"/>
      <c r="AX41" s="128"/>
      <c r="AY41" s="23" t="s">
        <v>937</v>
      </c>
      <c r="AZ41" s="128" t="s">
        <v>946</v>
      </c>
      <c r="BA41" s="128"/>
      <c r="BB41" s="128"/>
      <c r="BC41" s="128"/>
      <c r="BD41" s="128"/>
      <c r="BE41" s="128"/>
      <c r="BF41" s="128"/>
      <c r="BG41" s="34"/>
      <c r="BH41" s="19"/>
      <c r="BI41" s="33"/>
      <c r="BJ41" s="128" t="s">
        <v>945</v>
      </c>
      <c r="BK41" s="128"/>
      <c r="BL41" s="128"/>
      <c r="BM41" s="128"/>
      <c r="BN41" s="128"/>
      <c r="BO41" s="128"/>
      <c r="BP41" s="128"/>
      <c r="BQ41" s="23" t="s">
        <v>937</v>
      </c>
      <c r="BR41" s="128" t="s">
        <v>946</v>
      </c>
      <c r="BS41" s="128"/>
      <c r="BT41" s="128"/>
      <c r="BU41" s="128"/>
      <c r="BV41" s="128"/>
      <c r="BW41" s="128"/>
      <c r="BX41" s="128"/>
      <c r="BY41" s="128"/>
      <c r="BZ41" s="34"/>
      <c r="CA41" s="19"/>
      <c r="CB41" s="33"/>
      <c r="CC41" s="128" t="s">
        <v>945</v>
      </c>
      <c r="CD41" s="128"/>
      <c r="CE41" s="128"/>
      <c r="CF41" s="128"/>
      <c r="CG41" s="128"/>
      <c r="CH41" s="128"/>
      <c r="CI41" s="128"/>
      <c r="CJ41" s="128"/>
      <c r="CK41" s="23" t="s">
        <v>937</v>
      </c>
      <c r="CL41" s="128" t="s">
        <v>946</v>
      </c>
      <c r="CM41" s="128"/>
      <c r="CN41" s="128"/>
      <c r="CO41" s="128"/>
      <c r="CP41" s="128"/>
      <c r="CQ41" s="128"/>
      <c r="CR41" s="128"/>
      <c r="CS41" s="128"/>
      <c r="CT41" s="34"/>
      <c r="CU41" s="19"/>
      <c r="CV41" s="33"/>
      <c r="CW41" s="128" t="s">
        <v>945</v>
      </c>
      <c r="CX41" s="128"/>
      <c r="CY41" s="128"/>
      <c r="CZ41" s="128"/>
      <c r="DA41" s="128"/>
      <c r="DB41" s="128"/>
      <c r="DC41" s="128"/>
      <c r="DD41" s="128"/>
      <c r="DE41" s="23" t="s">
        <v>937</v>
      </c>
      <c r="DF41" s="128" t="s">
        <v>946</v>
      </c>
      <c r="DG41" s="128"/>
      <c r="DH41" s="128"/>
      <c r="DI41" s="128"/>
      <c r="DJ41" s="128"/>
      <c r="DK41" s="128"/>
      <c r="DL41" s="128"/>
      <c r="DM41" s="128"/>
      <c r="DN41" s="34"/>
      <c r="DO41" s="76"/>
      <c r="DP41" s="19"/>
      <c r="DQ41" s="19"/>
      <c r="DR41" s="19"/>
      <c r="DS41" s="13"/>
    </row>
    <row r="42" spans="1:124" ht="12" customHeight="1">
      <c r="A42" s="12"/>
      <c r="B42" s="18"/>
      <c r="C42" s="19"/>
      <c r="D42" s="19"/>
      <c r="E42" s="19"/>
      <c r="F42" s="73"/>
      <c r="G42" s="146"/>
      <c r="H42" s="147"/>
      <c r="I42" s="147"/>
      <c r="J42" s="147"/>
      <c r="K42" s="147"/>
      <c r="L42" s="147"/>
      <c r="M42" s="147"/>
      <c r="N42" s="147"/>
      <c r="O42" s="147"/>
      <c r="P42" s="147"/>
      <c r="Q42" s="147"/>
      <c r="R42" s="147"/>
      <c r="S42" s="147"/>
      <c r="T42" s="147"/>
      <c r="U42" s="147"/>
      <c r="V42" s="148"/>
      <c r="W42" s="19"/>
      <c r="X42" s="33"/>
      <c r="Y42" s="128" t="s">
        <v>947</v>
      </c>
      <c r="Z42" s="128"/>
      <c r="AA42" s="128"/>
      <c r="AB42" s="26" t="s">
        <v>948</v>
      </c>
      <c r="AC42" s="128" t="s">
        <v>949</v>
      </c>
      <c r="AD42" s="128"/>
      <c r="AE42" s="128"/>
      <c r="AF42" s="23"/>
      <c r="AG42" s="128" t="s">
        <v>947</v>
      </c>
      <c r="AH42" s="128"/>
      <c r="AI42" s="128"/>
      <c r="AJ42" s="26" t="s">
        <v>948</v>
      </c>
      <c r="AK42" s="128" t="s">
        <v>949</v>
      </c>
      <c r="AL42" s="128"/>
      <c r="AM42" s="128"/>
      <c r="AN42" s="34"/>
      <c r="AO42" s="19"/>
      <c r="AP42" s="33"/>
      <c r="AQ42" s="128" t="s">
        <v>947</v>
      </c>
      <c r="AR42" s="128"/>
      <c r="AS42" s="128"/>
      <c r="AT42" s="128"/>
      <c r="AU42" s="26" t="s">
        <v>948</v>
      </c>
      <c r="AV42" s="128" t="s">
        <v>949</v>
      </c>
      <c r="AW42" s="128"/>
      <c r="AX42" s="128"/>
      <c r="AY42" s="23"/>
      <c r="AZ42" s="128" t="s">
        <v>947</v>
      </c>
      <c r="BA42" s="128"/>
      <c r="BB42" s="128"/>
      <c r="BC42" s="26" t="s">
        <v>948</v>
      </c>
      <c r="BD42" s="128" t="s">
        <v>949</v>
      </c>
      <c r="BE42" s="128"/>
      <c r="BF42" s="128"/>
      <c r="BG42" s="34"/>
      <c r="BH42" s="19"/>
      <c r="BI42" s="33"/>
      <c r="BJ42" s="128" t="s">
        <v>947</v>
      </c>
      <c r="BK42" s="128"/>
      <c r="BL42" s="128"/>
      <c r="BM42" s="26" t="s">
        <v>948</v>
      </c>
      <c r="BN42" s="128" t="s">
        <v>949</v>
      </c>
      <c r="BO42" s="128"/>
      <c r="BP42" s="128"/>
      <c r="BQ42" s="23"/>
      <c r="BR42" s="128" t="s">
        <v>947</v>
      </c>
      <c r="BS42" s="128"/>
      <c r="BT42" s="128"/>
      <c r="BU42" s="26" t="s">
        <v>948</v>
      </c>
      <c r="BV42" s="128" t="s">
        <v>949</v>
      </c>
      <c r="BW42" s="128"/>
      <c r="BX42" s="128"/>
      <c r="BY42" s="128"/>
      <c r="BZ42" s="34"/>
      <c r="CA42" s="19"/>
      <c r="CB42" s="33"/>
      <c r="CC42" s="128" t="s">
        <v>947</v>
      </c>
      <c r="CD42" s="128"/>
      <c r="CE42" s="128"/>
      <c r="CF42" s="132" t="s">
        <v>948</v>
      </c>
      <c r="CG42" s="132"/>
      <c r="CH42" s="128" t="s">
        <v>949</v>
      </c>
      <c r="CI42" s="128"/>
      <c r="CJ42" s="128"/>
      <c r="CK42" s="23"/>
      <c r="CL42" s="128" t="s">
        <v>947</v>
      </c>
      <c r="CM42" s="128"/>
      <c r="CN42" s="128"/>
      <c r="CO42" s="128"/>
      <c r="CP42" s="26" t="s">
        <v>948</v>
      </c>
      <c r="CQ42" s="128" t="s">
        <v>949</v>
      </c>
      <c r="CR42" s="128"/>
      <c r="CS42" s="128"/>
      <c r="CT42" s="34"/>
      <c r="CU42" s="19"/>
      <c r="CV42" s="33"/>
      <c r="CW42" s="128" t="s">
        <v>947</v>
      </c>
      <c r="CX42" s="128"/>
      <c r="CY42" s="128"/>
      <c r="CZ42" s="132" t="s">
        <v>948</v>
      </c>
      <c r="DA42" s="132"/>
      <c r="DB42" s="128" t="s">
        <v>949</v>
      </c>
      <c r="DC42" s="128"/>
      <c r="DD42" s="128"/>
      <c r="DE42" s="23"/>
      <c r="DF42" s="128" t="s">
        <v>947</v>
      </c>
      <c r="DG42" s="128"/>
      <c r="DH42" s="128"/>
      <c r="DI42" s="132" t="s">
        <v>948</v>
      </c>
      <c r="DJ42" s="132"/>
      <c r="DK42" s="128" t="s">
        <v>949</v>
      </c>
      <c r="DL42" s="128"/>
      <c r="DM42" s="128"/>
      <c r="DN42" s="34"/>
      <c r="DO42" s="76"/>
      <c r="DP42" s="19"/>
      <c r="DQ42" s="19"/>
      <c r="DR42" s="19"/>
      <c r="DS42" s="13"/>
    </row>
    <row r="43" spans="1:124" ht="20.100000000000001" customHeight="1">
      <c r="A43" s="12"/>
      <c r="B43" s="18"/>
      <c r="C43" s="19"/>
      <c r="D43" s="19"/>
      <c r="E43" s="19"/>
      <c r="F43" s="73"/>
      <c r="G43" s="146"/>
      <c r="H43" s="147"/>
      <c r="I43" s="147"/>
      <c r="J43" s="147"/>
      <c r="K43" s="147"/>
      <c r="L43" s="147"/>
      <c r="M43" s="147"/>
      <c r="N43" s="147"/>
      <c r="O43" s="147"/>
      <c r="P43" s="147"/>
      <c r="Q43" s="147"/>
      <c r="R43" s="147"/>
      <c r="S43" s="147"/>
      <c r="T43" s="147"/>
      <c r="U43" s="147"/>
      <c r="V43" s="148"/>
      <c r="W43" s="19"/>
      <c r="X43" s="33"/>
      <c r="Y43" s="207">
        <v>30</v>
      </c>
      <c r="Z43" s="207"/>
      <c r="AA43" s="207"/>
      <c r="AB43" s="28" t="s">
        <v>948</v>
      </c>
      <c r="AC43" s="207">
        <v>10</v>
      </c>
      <c r="AD43" s="207"/>
      <c r="AE43" s="207"/>
      <c r="AF43" s="25"/>
      <c r="AG43" s="207">
        <v>30</v>
      </c>
      <c r="AH43" s="207"/>
      <c r="AI43" s="207"/>
      <c r="AJ43" s="28" t="s">
        <v>948</v>
      </c>
      <c r="AK43" s="207">
        <v>14</v>
      </c>
      <c r="AL43" s="207"/>
      <c r="AM43" s="207"/>
      <c r="AN43" s="34"/>
      <c r="AO43" s="19"/>
      <c r="AP43" s="33"/>
      <c r="AQ43" s="207">
        <v>30</v>
      </c>
      <c r="AR43" s="207"/>
      <c r="AS43" s="207"/>
      <c r="AT43" s="207"/>
      <c r="AU43" s="28" t="s">
        <v>948</v>
      </c>
      <c r="AV43" s="207">
        <v>10</v>
      </c>
      <c r="AW43" s="207"/>
      <c r="AX43" s="207"/>
      <c r="AY43" s="25"/>
      <c r="AZ43" s="207">
        <v>30</v>
      </c>
      <c r="BA43" s="207"/>
      <c r="BB43" s="207"/>
      <c r="BC43" s="28" t="s">
        <v>948</v>
      </c>
      <c r="BD43" s="207">
        <v>14</v>
      </c>
      <c r="BE43" s="207"/>
      <c r="BF43" s="207"/>
      <c r="BG43" s="34"/>
      <c r="BH43" s="19"/>
      <c r="BI43" s="33"/>
      <c r="BJ43" s="207">
        <v>30</v>
      </c>
      <c r="BK43" s="207"/>
      <c r="BL43" s="207"/>
      <c r="BM43" s="28" t="s">
        <v>948</v>
      </c>
      <c r="BN43" s="207">
        <v>10</v>
      </c>
      <c r="BO43" s="207"/>
      <c r="BP43" s="207"/>
      <c r="BQ43" s="25"/>
      <c r="BR43" s="207">
        <v>30</v>
      </c>
      <c r="BS43" s="207"/>
      <c r="BT43" s="207"/>
      <c r="BU43" s="28" t="s">
        <v>948</v>
      </c>
      <c r="BV43" s="207">
        <v>14</v>
      </c>
      <c r="BW43" s="207"/>
      <c r="BX43" s="207"/>
      <c r="BY43" s="207"/>
      <c r="BZ43" s="34"/>
      <c r="CA43" s="19"/>
      <c r="CB43" s="33"/>
      <c r="CC43" s="207">
        <v>30</v>
      </c>
      <c r="CD43" s="207"/>
      <c r="CE43" s="207"/>
      <c r="CF43" s="131" t="s">
        <v>948</v>
      </c>
      <c r="CG43" s="131"/>
      <c r="CH43" s="207">
        <v>10</v>
      </c>
      <c r="CI43" s="207"/>
      <c r="CJ43" s="207"/>
      <c r="CK43" s="25"/>
      <c r="CL43" s="207">
        <v>30</v>
      </c>
      <c r="CM43" s="207"/>
      <c r="CN43" s="207"/>
      <c r="CO43" s="207"/>
      <c r="CP43" s="28" t="s">
        <v>948</v>
      </c>
      <c r="CQ43" s="207">
        <v>14</v>
      </c>
      <c r="CR43" s="207"/>
      <c r="CS43" s="207"/>
      <c r="CT43" s="34"/>
      <c r="CU43" s="19"/>
      <c r="CV43" s="33"/>
      <c r="CW43" s="207">
        <v>30</v>
      </c>
      <c r="CX43" s="207"/>
      <c r="CY43" s="207"/>
      <c r="CZ43" s="131" t="s">
        <v>948</v>
      </c>
      <c r="DA43" s="131"/>
      <c r="DB43" s="207">
        <v>10</v>
      </c>
      <c r="DC43" s="207"/>
      <c r="DD43" s="207"/>
      <c r="DE43" s="25"/>
      <c r="DF43" s="207">
        <v>30</v>
      </c>
      <c r="DG43" s="207"/>
      <c r="DH43" s="207"/>
      <c r="DI43" s="131" t="s">
        <v>948</v>
      </c>
      <c r="DJ43" s="131"/>
      <c r="DK43" s="207">
        <v>14</v>
      </c>
      <c r="DL43" s="207"/>
      <c r="DM43" s="207"/>
      <c r="DN43" s="34"/>
      <c r="DO43" s="76"/>
      <c r="DP43" s="19"/>
      <c r="DQ43" s="19"/>
      <c r="DR43" s="19"/>
      <c r="DS43" s="13"/>
    </row>
    <row r="44" spans="1:124" ht="5.0999999999999996" customHeight="1">
      <c r="A44" s="12"/>
      <c r="B44" s="18"/>
      <c r="C44" s="19"/>
      <c r="D44" s="19"/>
      <c r="E44" s="19"/>
      <c r="F44" s="73"/>
      <c r="G44" s="149"/>
      <c r="H44" s="150"/>
      <c r="I44" s="150"/>
      <c r="J44" s="150"/>
      <c r="K44" s="150"/>
      <c r="L44" s="150"/>
      <c r="M44" s="150"/>
      <c r="N44" s="150"/>
      <c r="O44" s="150"/>
      <c r="P44" s="150"/>
      <c r="Q44" s="150"/>
      <c r="R44" s="150"/>
      <c r="S44" s="150"/>
      <c r="T44" s="150"/>
      <c r="U44" s="150"/>
      <c r="V44" s="151"/>
      <c r="W44" s="19"/>
      <c r="X44" s="35"/>
      <c r="Y44" s="36"/>
      <c r="Z44" s="36"/>
      <c r="AA44" s="36"/>
      <c r="AB44" s="36"/>
      <c r="AC44" s="36"/>
      <c r="AD44" s="36"/>
      <c r="AE44" s="36"/>
      <c r="AF44" s="36"/>
      <c r="AG44" s="36"/>
      <c r="AH44" s="36"/>
      <c r="AI44" s="36"/>
      <c r="AJ44" s="36"/>
      <c r="AK44" s="36"/>
      <c r="AL44" s="36"/>
      <c r="AM44" s="36"/>
      <c r="AN44" s="37"/>
      <c r="AO44" s="19"/>
      <c r="AP44" s="35"/>
      <c r="AQ44" s="36"/>
      <c r="AR44" s="36"/>
      <c r="AS44" s="36"/>
      <c r="AT44" s="36"/>
      <c r="AU44" s="36"/>
      <c r="AV44" s="36"/>
      <c r="AW44" s="36"/>
      <c r="AX44" s="36"/>
      <c r="AY44" s="36"/>
      <c r="AZ44" s="36"/>
      <c r="BA44" s="36"/>
      <c r="BB44" s="36"/>
      <c r="BC44" s="36"/>
      <c r="BD44" s="36"/>
      <c r="BE44" s="36"/>
      <c r="BF44" s="36"/>
      <c r="BG44" s="37"/>
      <c r="BH44" s="19"/>
      <c r="BI44" s="35"/>
      <c r="BJ44" s="36"/>
      <c r="BK44" s="36"/>
      <c r="BL44" s="36"/>
      <c r="BM44" s="36"/>
      <c r="BN44" s="36"/>
      <c r="BO44" s="36"/>
      <c r="BP44" s="36"/>
      <c r="BQ44" s="36"/>
      <c r="BR44" s="36"/>
      <c r="BS44" s="36"/>
      <c r="BT44" s="36"/>
      <c r="BU44" s="36"/>
      <c r="BV44" s="36"/>
      <c r="BW44" s="36"/>
      <c r="BX44" s="36"/>
      <c r="BY44" s="36"/>
      <c r="BZ44" s="37"/>
      <c r="CA44" s="19"/>
      <c r="CB44" s="35"/>
      <c r="CC44" s="36"/>
      <c r="CD44" s="36"/>
      <c r="CE44" s="36"/>
      <c r="CF44" s="36"/>
      <c r="CG44" s="36"/>
      <c r="CH44" s="36"/>
      <c r="CI44" s="36"/>
      <c r="CJ44" s="36"/>
      <c r="CK44" s="36"/>
      <c r="CL44" s="36"/>
      <c r="CM44" s="36"/>
      <c r="CN44" s="36"/>
      <c r="CO44" s="36"/>
      <c r="CP44" s="36"/>
      <c r="CQ44" s="36"/>
      <c r="CR44" s="36"/>
      <c r="CS44" s="36"/>
      <c r="CT44" s="37"/>
      <c r="CU44" s="19"/>
      <c r="CV44" s="35"/>
      <c r="CW44" s="36"/>
      <c r="CX44" s="36"/>
      <c r="CY44" s="36"/>
      <c r="CZ44" s="36"/>
      <c r="DA44" s="36"/>
      <c r="DB44" s="36"/>
      <c r="DC44" s="36"/>
      <c r="DD44" s="36"/>
      <c r="DE44" s="36"/>
      <c r="DF44" s="36"/>
      <c r="DG44" s="36"/>
      <c r="DH44" s="36"/>
      <c r="DI44" s="36"/>
      <c r="DJ44" s="36"/>
      <c r="DK44" s="36"/>
      <c r="DL44" s="36"/>
      <c r="DM44" s="36"/>
      <c r="DN44" s="37"/>
      <c r="DO44" s="76"/>
      <c r="DP44" s="19"/>
      <c r="DQ44" s="19"/>
      <c r="DR44" s="19"/>
      <c r="DS44" s="13"/>
    </row>
    <row r="45" spans="1:124" ht="5.0999999999999996" customHeight="1">
      <c r="A45" s="12"/>
      <c r="B45" s="18"/>
      <c r="C45" s="19"/>
      <c r="D45" s="19"/>
      <c r="E45" s="19"/>
      <c r="F45" s="74"/>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77"/>
      <c r="DP45" s="19"/>
      <c r="DQ45" s="19"/>
      <c r="DR45" s="19"/>
      <c r="DS45" s="12"/>
      <c r="DT45" s="13"/>
    </row>
    <row r="46" spans="1:124" ht="15" customHeight="1">
      <c r="A46" s="12"/>
      <c r="B46" s="18"/>
      <c r="C46" s="19"/>
      <c r="D46" s="19"/>
      <c r="E46" s="19"/>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c r="CC46" s="71"/>
      <c r="CD46" s="71"/>
      <c r="CE46" s="71"/>
      <c r="CF46" s="71"/>
      <c r="CG46" s="71"/>
      <c r="CH46" s="71"/>
      <c r="CI46" s="71"/>
      <c r="CJ46" s="71"/>
      <c r="CK46" s="71"/>
      <c r="CL46" s="71"/>
      <c r="CM46" s="71"/>
      <c r="CN46" s="71"/>
      <c r="CO46" s="71"/>
      <c r="CP46" s="71"/>
      <c r="CQ46" s="71"/>
      <c r="CR46" s="71"/>
      <c r="CS46" s="71"/>
      <c r="CT46" s="71"/>
      <c r="CU46" s="71"/>
      <c r="CV46" s="71"/>
      <c r="CW46" s="71"/>
      <c r="CX46" s="71"/>
      <c r="CY46" s="71"/>
      <c r="CZ46" s="71"/>
      <c r="DA46" s="71"/>
      <c r="DB46" s="71"/>
      <c r="DC46" s="71"/>
      <c r="DD46" s="71"/>
      <c r="DE46" s="71"/>
      <c r="DF46" s="71"/>
      <c r="DG46" s="71"/>
      <c r="DH46" s="71"/>
      <c r="DI46" s="71"/>
      <c r="DJ46" s="71"/>
      <c r="DK46" s="71"/>
      <c r="DL46" s="71"/>
      <c r="DM46" s="71"/>
      <c r="DN46" s="71"/>
      <c r="DO46" s="71"/>
      <c r="DP46" s="19"/>
      <c r="DQ46" s="19"/>
      <c r="DR46" s="19"/>
      <c r="DS46" s="12"/>
      <c r="DT46" s="13"/>
    </row>
    <row r="47" spans="1:124" ht="5.0999999999999996" customHeight="1">
      <c r="A47" s="12"/>
      <c r="B47" s="18"/>
      <c r="C47" s="19"/>
      <c r="D47" s="19"/>
      <c r="E47" s="19"/>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19"/>
      <c r="DQ47" s="19"/>
      <c r="DR47" s="19"/>
      <c r="DS47" s="12"/>
      <c r="DT47" s="13"/>
    </row>
    <row r="48" spans="1:124" ht="15" customHeight="1">
      <c r="A48" s="12"/>
      <c r="B48" s="18"/>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2"/>
      <c r="DT48" s="13"/>
    </row>
    <row r="49" spans="1:124" ht="5.0999999999999996" customHeight="1">
      <c r="A49" s="12"/>
      <c r="B49" s="18"/>
      <c r="C49" s="19"/>
      <c r="D49" s="19"/>
      <c r="E49" s="19"/>
      <c r="F49" s="72"/>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c r="CC49" s="71"/>
      <c r="CD49" s="71"/>
      <c r="CE49" s="71"/>
      <c r="CF49" s="71"/>
      <c r="CG49" s="71"/>
      <c r="CH49" s="71"/>
      <c r="CI49" s="71"/>
      <c r="CJ49" s="71"/>
      <c r="CK49" s="71"/>
      <c r="CL49" s="71"/>
      <c r="CM49" s="71"/>
      <c r="CN49" s="71"/>
      <c r="CO49" s="71"/>
      <c r="CP49" s="71"/>
      <c r="CQ49" s="71"/>
      <c r="CR49" s="71"/>
      <c r="CS49" s="71"/>
      <c r="CT49" s="71"/>
      <c r="CU49" s="71"/>
      <c r="CV49" s="71"/>
      <c r="CW49" s="71"/>
      <c r="CX49" s="71"/>
      <c r="CY49" s="71"/>
      <c r="CZ49" s="71"/>
      <c r="DA49" s="71"/>
      <c r="DB49" s="71"/>
      <c r="DC49" s="71"/>
      <c r="DD49" s="71"/>
      <c r="DE49" s="71"/>
      <c r="DF49" s="71"/>
      <c r="DG49" s="71"/>
      <c r="DH49" s="71"/>
      <c r="DI49" s="71"/>
      <c r="DJ49" s="71"/>
      <c r="DK49" s="71"/>
      <c r="DL49" s="71"/>
      <c r="DM49" s="71"/>
      <c r="DN49" s="71"/>
      <c r="DO49" s="75"/>
      <c r="DP49" s="19"/>
      <c r="DQ49" s="19"/>
      <c r="DR49" s="19"/>
      <c r="DS49" s="12"/>
      <c r="DT49" s="13"/>
    </row>
    <row r="50" spans="1:124" ht="5.0999999999999996" customHeight="1">
      <c r="A50" s="12"/>
      <c r="B50" s="18"/>
      <c r="C50" s="19"/>
      <c r="D50" s="19"/>
      <c r="E50" s="19"/>
      <c r="F50" s="73"/>
      <c r="G50" s="143" t="s">
        <v>950</v>
      </c>
      <c r="H50" s="144"/>
      <c r="I50" s="144"/>
      <c r="J50" s="144"/>
      <c r="K50" s="144"/>
      <c r="L50" s="144"/>
      <c r="M50" s="144"/>
      <c r="N50" s="144"/>
      <c r="O50" s="144"/>
      <c r="P50" s="144"/>
      <c r="Q50" s="144"/>
      <c r="R50" s="144"/>
      <c r="S50" s="144"/>
      <c r="T50" s="144"/>
      <c r="U50" s="144"/>
      <c r="V50" s="145"/>
      <c r="W50" s="19"/>
      <c r="X50" s="97"/>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c r="CL50" s="39"/>
      <c r="CM50" s="39"/>
      <c r="CN50" s="39"/>
      <c r="CO50" s="39"/>
      <c r="CP50" s="39"/>
      <c r="CQ50" s="39"/>
      <c r="CR50" s="39"/>
      <c r="CS50" s="39"/>
      <c r="CT50" s="39"/>
      <c r="CU50" s="39"/>
      <c r="CV50" s="39"/>
      <c r="CW50" s="39"/>
      <c r="CX50" s="39"/>
      <c r="CY50" s="39"/>
      <c r="CZ50" s="39"/>
      <c r="DA50" s="39"/>
      <c r="DB50" s="39"/>
      <c r="DC50" s="39"/>
      <c r="DD50" s="39"/>
      <c r="DE50" s="39"/>
      <c r="DF50" s="39"/>
      <c r="DG50" s="39"/>
      <c r="DH50" s="39"/>
      <c r="DI50" s="39"/>
      <c r="DJ50" s="39"/>
      <c r="DK50" s="39"/>
      <c r="DL50" s="39"/>
      <c r="DM50" s="39"/>
      <c r="DN50" s="40"/>
      <c r="DO50" s="76"/>
      <c r="DP50" s="19"/>
      <c r="DQ50" s="19"/>
      <c r="DR50" s="19"/>
      <c r="DS50" s="13"/>
    </row>
    <row r="51" spans="1:124" ht="12" customHeight="1">
      <c r="A51" s="12"/>
      <c r="B51" s="18"/>
      <c r="C51" s="19"/>
      <c r="D51" s="19"/>
      <c r="E51" s="19"/>
      <c r="F51" s="73"/>
      <c r="G51" s="146"/>
      <c r="H51" s="147"/>
      <c r="I51" s="147"/>
      <c r="J51" s="147"/>
      <c r="K51" s="147"/>
      <c r="L51" s="147"/>
      <c r="M51" s="147"/>
      <c r="N51" s="147"/>
      <c r="O51" s="147"/>
      <c r="P51" s="147"/>
      <c r="Q51" s="147"/>
      <c r="R51" s="147"/>
      <c r="S51" s="147"/>
      <c r="T51" s="147"/>
      <c r="U51" s="147"/>
      <c r="V51" s="148"/>
      <c r="W51" s="19"/>
      <c r="X51" s="98"/>
      <c r="Y51" s="69"/>
      <c r="Z51" s="69"/>
      <c r="AA51" s="69"/>
      <c r="AB51" s="69"/>
      <c r="AC51" s="69"/>
      <c r="AD51" s="69"/>
      <c r="AE51" s="23"/>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34"/>
      <c r="DO51" s="76"/>
      <c r="DP51" s="19"/>
      <c r="DQ51" s="19"/>
      <c r="DR51" s="19"/>
      <c r="DS51" s="13"/>
    </row>
    <row r="52" spans="1:124" ht="20.100000000000001" customHeight="1">
      <c r="A52" s="12"/>
      <c r="B52" s="18"/>
      <c r="C52" s="19"/>
      <c r="D52" s="19"/>
      <c r="E52" s="19"/>
      <c r="F52" s="73"/>
      <c r="G52" s="146"/>
      <c r="H52" s="147"/>
      <c r="I52" s="147"/>
      <c r="J52" s="147"/>
      <c r="K52" s="147"/>
      <c r="L52" s="147"/>
      <c r="M52" s="147"/>
      <c r="N52" s="147"/>
      <c r="O52" s="147"/>
      <c r="P52" s="147"/>
      <c r="Q52" s="147"/>
      <c r="R52" s="147"/>
      <c r="S52" s="147"/>
      <c r="T52" s="147"/>
      <c r="U52" s="147"/>
      <c r="V52" s="148"/>
      <c r="W52" s="19"/>
      <c r="X52" s="98"/>
      <c r="Y52" s="69"/>
      <c r="Z52" s="69"/>
      <c r="AA52" s="26"/>
      <c r="AB52" s="69"/>
      <c r="AC52" s="69"/>
      <c r="AD52" s="69"/>
      <c r="AE52" s="23"/>
      <c r="AF52" s="69"/>
      <c r="AG52" s="128" t="s">
        <v>935</v>
      </c>
      <c r="AH52" s="128"/>
      <c r="AI52" s="152" t="s">
        <v>1107</v>
      </c>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69" t="s">
        <v>936</v>
      </c>
      <c r="BJ52" s="69"/>
      <c r="BK52" s="70" t="s">
        <v>937</v>
      </c>
      <c r="BL52" s="69"/>
      <c r="BM52" s="69"/>
      <c r="BN52" s="69"/>
      <c r="BO52" s="69"/>
      <c r="BP52" s="69"/>
      <c r="BQ52" s="69"/>
      <c r="BR52" s="69"/>
      <c r="BS52" s="69"/>
      <c r="BT52" s="69"/>
      <c r="BU52" s="69"/>
      <c r="BV52" s="69"/>
      <c r="BW52" s="69"/>
      <c r="BX52" s="69"/>
      <c r="BY52" s="69"/>
      <c r="BZ52" s="69"/>
      <c r="CA52" s="69"/>
      <c r="CB52" s="69"/>
      <c r="CC52" s="69"/>
      <c r="CD52" s="69"/>
      <c r="CE52" s="70" t="s">
        <v>937</v>
      </c>
      <c r="CF52" s="69"/>
      <c r="CG52" s="69"/>
      <c r="CH52" s="69"/>
      <c r="CI52" s="69"/>
      <c r="CJ52" s="69"/>
      <c r="CK52" s="69"/>
      <c r="CL52" s="69"/>
      <c r="CM52" s="69"/>
      <c r="CN52" s="69"/>
      <c r="CO52" s="130" t="s">
        <v>935</v>
      </c>
      <c r="CP52" s="130"/>
      <c r="CQ52" s="130"/>
      <c r="CR52" s="206" t="s">
        <v>951</v>
      </c>
      <c r="CS52" s="206"/>
      <c r="CT52" s="206"/>
      <c r="CU52" s="206"/>
      <c r="CV52" s="206"/>
      <c r="CW52" s="206"/>
      <c r="CX52" s="206"/>
      <c r="CY52" s="206"/>
      <c r="CZ52" s="206"/>
      <c r="DA52" s="206"/>
      <c r="DB52" s="206"/>
      <c r="DC52" s="206"/>
      <c r="DD52" s="206"/>
      <c r="DE52" s="206"/>
      <c r="DF52" s="206"/>
      <c r="DG52" s="206"/>
      <c r="DH52" s="206"/>
      <c r="DI52" s="206"/>
      <c r="DJ52" s="206"/>
      <c r="DK52" s="206"/>
      <c r="DL52" s="153" t="s">
        <v>936</v>
      </c>
      <c r="DM52" s="153"/>
      <c r="DN52" s="34"/>
      <c r="DO52" s="76"/>
      <c r="DP52" s="19"/>
      <c r="DQ52" s="19"/>
      <c r="DR52" s="19"/>
      <c r="DS52" s="13"/>
    </row>
    <row r="53" spans="1:124" ht="12" customHeight="1">
      <c r="A53" s="12"/>
      <c r="B53" s="18"/>
      <c r="C53" s="19"/>
      <c r="D53" s="19"/>
      <c r="E53" s="19"/>
      <c r="F53" s="73"/>
      <c r="G53" s="146"/>
      <c r="H53" s="147"/>
      <c r="I53" s="147"/>
      <c r="J53" s="147"/>
      <c r="K53" s="147"/>
      <c r="L53" s="147"/>
      <c r="M53" s="147"/>
      <c r="N53" s="147"/>
      <c r="O53" s="147"/>
      <c r="P53" s="147"/>
      <c r="Q53" s="147"/>
      <c r="R53" s="147"/>
      <c r="S53" s="147"/>
      <c r="T53" s="147"/>
      <c r="U53" s="147"/>
      <c r="V53" s="148"/>
      <c r="W53" s="19"/>
      <c r="X53" s="98"/>
      <c r="Y53" s="69"/>
      <c r="Z53" s="69"/>
      <c r="AA53" s="26"/>
      <c r="AB53" s="69"/>
      <c r="AC53" s="69"/>
      <c r="AD53" s="69"/>
      <c r="AE53" s="23"/>
      <c r="AF53" s="69"/>
      <c r="AG53" s="69"/>
      <c r="AH53" s="69"/>
      <c r="AI53" s="26"/>
      <c r="AJ53" s="26"/>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26"/>
      <c r="DC53" s="69"/>
      <c r="DD53" s="69"/>
      <c r="DE53" s="69"/>
      <c r="DF53" s="69"/>
      <c r="DG53" s="69"/>
      <c r="DH53" s="69"/>
      <c r="DI53" s="26"/>
      <c r="DJ53" s="26"/>
      <c r="DK53" s="69"/>
      <c r="DL53" s="69"/>
      <c r="DM53" s="69"/>
      <c r="DN53" s="34"/>
      <c r="DO53" s="76"/>
      <c r="DP53" s="19"/>
      <c r="DQ53" s="19"/>
      <c r="DR53" s="19"/>
      <c r="DS53" s="13"/>
    </row>
    <row r="54" spans="1:124" ht="5.0999999999999996" customHeight="1">
      <c r="A54" s="12"/>
      <c r="B54" s="18"/>
      <c r="C54" s="19"/>
      <c r="D54" s="19"/>
      <c r="E54" s="19"/>
      <c r="F54" s="73"/>
      <c r="G54" s="146"/>
      <c r="H54" s="147"/>
      <c r="I54" s="147"/>
      <c r="J54" s="147"/>
      <c r="K54" s="147"/>
      <c r="L54" s="147"/>
      <c r="M54" s="147"/>
      <c r="N54" s="147"/>
      <c r="O54" s="147"/>
      <c r="P54" s="147"/>
      <c r="Q54" s="147"/>
      <c r="R54" s="147"/>
      <c r="S54" s="147"/>
      <c r="T54" s="147"/>
      <c r="U54" s="147"/>
      <c r="V54" s="148"/>
      <c r="W54" s="19"/>
      <c r="X54" s="99"/>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7"/>
      <c r="DO54" s="76"/>
      <c r="DP54" s="19"/>
      <c r="DQ54" s="19"/>
      <c r="DR54" s="19"/>
      <c r="DS54" s="13"/>
    </row>
    <row r="55" spans="1:124" ht="5.0999999999999996" customHeight="1">
      <c r="A55" s="12"/>
      <c r="B55" s="18"/>
      <c r="C55" s="19"/>
      <c r="D55" s="19"/>
      <c r="E55" s="19"/>
      <c r="F55" s="73"/>
      <c r="G55" s="146"/>
      <c r="H55" s="147"/>
      <c r="I55" s="147"/>
      <c r="J55" s="147"/>
      <c r="K55" s="147"/>
      <c r="L55" s="147"/>
      <c r="M55" s="147"/>
      <c r="N55" s="147"/>
      <c r="O55" s="147"/>
      <c r="P55" s="147"/>
      <c r="Q55" s="147"/>
      <c r="R55" s="147"/>
      <c r="S55" s="147"/>
      <c r="T55" s="147"/>
      <c r="U55" s="147"/>
      <c r="V55" s="148"/>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76"/>
      <c r="DP55" s="19"/>
      <c r="DQ55" s="19"/>
      <c r="DR55" s="19"/>
      <c r="DS55" s="13"/>
    </row>
    <row r="56" spans="1:124" ht="30" customHeight="1">
      <c r="A56" s="12"/>
      <c r="B56" s="18"/>
      <c r="C56" s="19"/>
      <c r="D56" s="19"/>
      <c r="E56" s="19"/>
      <c r="F56" s="73"/>
      <c r="G56" s="146"/>
      <c r="H56" s="147"/>
      <c r="I56" s="147"/>
      <c r="J56" s="147"/>
      <c r="K56" s="147"/>
      <c r="L56" s="147"/>
      <c r="M56" s="147"/>
      <c r="N56" s="147"/>
      <c r="O56" s="147"/>
      <c r="P56" s="147"/>
      <c r="Q56" s="147"/>
      <c r="R56" s="147"/>
      <c r="S56" s="147"/>
      <c r="T56" s="147"/>
      <c r="U56" s="147"/>
      <c r="V56" s="148"/>
      <c r="W56" s="19"/>
      <c r="X56" s="154" t="s">
        <v>939</v>
      </c>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6"/>
      <c r="DO56" s="76"/>
      <c r="DP56" s="19"/>
      <c r="DQ56" s="19"/>
      <c r="DR56" s="19"/>
      <c r="DS56" s="13"/>
    </row>
    <row r="57" spans="1:124" ht="5.0999999999999996" customHeight="1">
      <c r="A57" s="12"/>
      <c r="B57" s="18"/>
      <c r="C57" s="19"/>
      <c r="D57" s="19"/>
      <c r="E57" s="19"/>
      <c r="F57" s="73"/>
      <c r="G57" s="146"/>
      <c r="H57" s="147"/>
      <c r="I57" s="147"/>
      <c r="J57" s="147"/>
      <c r="K57" s="147"/>
      <c r="L57" s="147"/>
      <c r="M57" s="147"/>
      <c r="N57" s="147"/>
      <c r="O57" s="147"/>
      <c r="P57" s="147"/>
      <c r="Q57" s="147"/>
      <c r="R57" s="147"/>
      <c r="S57" s="147"/>
      <c r="T57" s="147"/>
      <c r="U57" s="147"/>
      <c r="V57" s="148"/>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76"/>
      <c r="DP57" s="19"/>
      <c r="DQ57" s="19"/>
      <c r="DR57" s="19"/>
      <c r="DS57" s="13"/>
    </row>
    <row r="58" spans="1:124" ht="30" customHeight="1">
      <c r="A58" s="12"/>
      <c r="B58" s="18"/>
      <c r="C58" s="19"/>
      <c r="D58" s="19"/>
      <c r="E58" s="19"/>
      <c r="F58" s="73"/>
      <c r="G58" s="146"/>
      <c r="H58" s="147"/>
      <c r="I58" s="147"/>
      <c r="J58" s="147"/>
      <c r="K58" s="147"/>
      <c r="L58" s="147"/>
      <c r="M58" s="147"/>
      <c r="N58" s="147"/>
      <c r="O58" s="147"/>
      <c r="P58" s="147"/>
      <c r="Q58" s="147"/>
      <c r="R58" s="147"/>
      <c r="S58" s="147"/>
      <c r="T58" s="147"/>
      <c r="U58" s="147"/>
      <c r="V58" s="148"/>
      <c r="W58" s="19"/>
      <c r="X58" s="157" t="s">
        <v>940</v>
      </c>
      <c r="Y58" s="158"/>
      <c r="Z58" s="158"/>
      <c r="AA58" s="158"/>
      <c r="AB58" s="158"/>
      <c r="AC58" s="158"/>
      <c r="AD58" s="158"/>
      <c r="AE58" s="158"/>
      <c r="AF58" s="158"/>
      <c r="AG58" s="158"/>
      <c r="AH58" s="158"/>
      <c r="AI58" s="158"/>
      <c r="AJ58" s="158"/>
      <c r="AK58" s="158"/>
      <c r="AL58" s="158"/>
      <c r="AM58" s="158"/>
      <c r="AN58" s="159"/>
      <c r="AO58" s="19"/>
      <c r="AP58" s="157" t="s">
        <v>941</v>
      </c>
      <c r="AQ58" s="158"/>
      <c r="AR58" s="158"/>
      <c r="AS58" s="158"/>
      <c r="AT58" s="158"/>
      <c r="AU58" s="158"/>
      <c r="AV58" s="158"/>
      <c r="AW58" s="158"/>
      <c r="AX58" s="158"/>
      <c r="AY58" s="158"/>
      <c r="AZ58" s="158"/>
      <c r="BA58" s="158"/>
      <c r="BB58" s="158"/>
      <c r="BC58" s="158"/>
      <c r="BD58" s="158"/>
      <c r="BE58" s="158"/>
      <c r="BF58" s="158"/>
      <c r="BG58" s="159"/>
      <c r="BH58" s="19"/>
      <c r="BI58" s="157" t="s">
        <v>942</v>
      </c>
      <c r="BJ58" s="158"/>
      <c r="BK58" s="158"/>
      <c r="BL58" s="158"/>
      <c r="BM58" s="158"/>
      <c r="BN58" s="158"/>
      <c r="BO58" s="158"/>
      <c r="BP58" s="158"/>
      <c r="BQ58" s="158"/>
      <c r="BR58" s="158"/>
      <c r="BS58" s="158"/>
      <c r="BT58" s="158"/>
      <c r="BU58" s="158"/>
      <c r="BV58" s="158"/>
      <c r="BW58" s="158"/>
      <c r="BX58" s="158"/>
      <c r="BY58" s="158"/>
      <c r="BZ58" s="159"/>
      <c r="CA58" s="19"/>
      <c r="CB58" s="157" t="s">
        <v>943</v>
      </c>
      <c r="CC58" s="158"/>
      <c r="CD58" s="158"/>
      <c r="CE58" s="158"/>
      <c r="CF58" s="158"/>
      <c r="CG58" s="158"/>
      <c r="CH58" s="158"/>
      <c r="CI58" s="158"/>
      <c r="CJ58" s="158"/>
      <c r="CK58" s="158"/>
      <c r="CL58" s="158"/>
      <c r="CM58" s="158"/>
      <c r="CN58" s="158"/>
      <c r="CO58" s="158"/>
      <c r="CP58" s="158"/>
      <c r="CQ58" s="158"/>
      <c r="CR58" s="158"/>
      <c r="CS58" s="158"/>
      <c r="CT58" s="159"/>
      <c r="CU58" s="19"/>
      <c r="CV58" s="157" t="s">
        <v>944</v>
      </c>
      <c r="CW58" s="158"/>
      <c r="CX58" s="158"/>
      <c r="CY58" s="158"/>
      <c r="CZ58" s="158"/>
      <c r="DA58" s="158"/>
      <c r="DB58" s="158"/>
      <c r="DC58" s="158"/>
      <c r="DD58" s="158"/>
      <c r="DE58" s="158"/>
      <c r="DF58" s="158"/>
      <c r="DG58" s="158"/>
      <c r="DH58" s="158"/>
      <c r="DI58" s="158"/>
      <c r="DJ58" s="158"/>
      <c r="DK58" s="158"/>
      <c r="DL58" s="158"/>
      <c r="DM58" s="158"/>
      <c r="DN58" s="159"/>
      <c r="DO58" s="76"/>
      <c r="DP58" s="19"/>
      <c r="DQ58" s="19"/>
      <c r="DR58" s="19"/>
      <c r="DS58" s="13"/>
    </row>
    <row r="59" spans="1:124" ht="5.0999999999999996" customHeight="1">
      <c r="A59" s="12"/>
      <c r="B59" s="18"/>
      <c r="C59" s="19"/>
      <c r="D59" s="19"/>
      <c r="E59" s="19"/>
      <c r="F59" s="73"/>
      <c r="G59" s="146"/>
      <c r="H59" s="147"/>
      <c r="I59" s="147"/>
      <c r="J59" s="147"/>
      <c r="K59" s="147"/>
      <c r="L59" s="147"/>
      <c r="M59" s="147"/>
      <c r="N59" s="147"/>
      <c r="O59" s="147"/>
      <c r="P59" s="147"/>
      <c r="Q59" s="147"/>
      <c r="R59" s="147"/>
      <c r="S59" s="147"/>
      <c r="T59" s="147"/>
      <c r="U59" s="147"/>
      <c r="V59" s="148"/>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76"/>
      <c r="DP59" s="19"/>
      <c r="DQ59" s="19"/>
      <c r="DR59" s="19"/>
      <c r="DS59" s="13"/>
    </row>
    <row r="60" spans="1:124" ht="5.0999999999999996" customHeight="1">
      <c r="A60" s="12"/>
      <c r="B60" s="18"/>
      <c r="C60" s="19"/>
      <c r="D60" s="19"/>
      <c r="E60" s="19"/>
      <c r="F60" s="73"/>
      <c r="G60" s="146"/>
      <c r="H60" s="147"/>
      <c r="I60" s="147"/>
      <c r="J60" s="147"/>
      <c r="K60" s="147"/>
      <c r="L60" s="147"/>
      <c r="M60" s="147"/>
      <c r="N60" s="147"/>
      <c r="O60" s="147"/>
      <c r="P60" s="147"/>
      <c r="Q60" s="147"/>
      <c r="R60" s="147"/>
      <c r="S60" s="147"/>
      <c r="T60" s="147"/>
      <c r="U60" s="147"/>
      <c r="V60" s="148"/>
      <c r="W60" s="19"/>
      <c r="X60" s="38"/>
      <c r="Y60" s="39"/>
      <c r="Z60" s="39"/>
      <c r="AA60" s="39"/>
      <c r="AB60" s="39"/>
      <c r="AC60" s="39"/>
      <c r="AD60" s="39"/>
      <c r="AE60" s="39"/>
      <c r="AF60" s="39"/>
      <c r="AG60" s="39"/>
      <c r="AH60" s="39"/>
      <c r="AI60" s="39"/>
      <c r="AJ60" s="39"/>
      <c r="AK60" s="39"/>
      <c r="AL60" s="39"/>
      <c r="AM60" s="39"/>
      <c r="AN60" s="40"/>
      <c r="AO60" s="19"/>
      <c r="AP60" s="38"/>
      <c r="AQ60" s="39"/>
      <c r="AR60" s="39"/>
      <c r="AS60" s="39"/>
      <c r="AT60" s="39"/>
      <c r="AU60" s="39"/>
      <c r="AV60" s="39"/>
      <c r="AW60" s="39"/>
      <c r="AX60" s="39"/>
      <c r="AY60" s="39"/>
      <c r="AZ60" s="39"/>
      <c r="BA60" s="39"/>
      <c r="BB60" s="39"/>
      <c r="BC60" s="39"/>
      <c r="BD60" s="39"/>
      <c r="BE60" s="39"/>
      <c r="BF60" s="39"/>
      <c r="BG60" s="40"/>
      <c r="BH60" s="19"/>
      <c r="BI60" s="38"/>
      <c r="BJ60" s="39"/>
      <c r="BK60" s="39"/>
      <c r="BL60" s="39"/>
      <c r="BM60" s="39"/>
      <c r="BN60" s="39"/>
      <c r="BO60" s="39"/>
      <c r="BP60" s="39"/>
      <c r="BQ60" s="39"/>
      <c r="BR60" s="39"/>
      <c r="BS60" s="39"/>
      <c r="BT60" s="39"/>
      <c r="BU60" s="39"/>
      <c r="BV60" s="39"/>
      <c r="BW60" s="39"/>
      <c r="BX60" s="39"/>
      <c r="BY60" s="39"/>
      <c r="BZ60" s="40"/>
      <c r="CA60" s="19"/>
      <c r="CB60" s="38"/>
      <c r="CC60" s="39"/>
      <c r="CD60" s="39"/>
      <c r="CE60" s="39"/>
      <c r="CF60" s="39"/>
      <c r="CG60" s="39"/>
      <c r="CH60" s="39"/>
      <c r="CI60" s="39"/>
      <c r="CJ60" s="39"/>
      <c r="CK60" s="39"/>
      <c r="CL60" s="39"/>
      <c r="CM60" s="39"/>
      <c r="CN60" s="39"/>
      <c r="CO60" s="39"/>
      <c r="CP60" s="39"/>
      <c r="CQ60" s="39"/>
      <c r="CR60" s="39"/>
      <c r="CS60" s="39"/>
      <c r="CT60" s="40"/>
      <c r="CU60" s="19"/>
      <c r="CV60" s="38"/>
      <c r="CW60" s="39"/>
      <c r="CX60" s="39"/>
      <c r="CY60" s="39"/>
      <c r="CZ60" s="39"/>
      <c r="DA60" s="39"/>
      <c r="DB60" s="39"/>
      <c r="DC60" s="39"/>
      <c r="DD60" s="39"/>
      <c r="DE60" s="39"/>
      <c r="DF60" s="39"/>
      <c r="DG60" s="39"/>
      <c r="DH60" s="39"/>
      <c r="DI60" s="39"/>
      <c r="DJ60" s="39"/>
      <c r="DK60" s="39"/>
      <c r="DL60" s="39"/>
      <c r="DM60" s="39"/>
      <c r="DN60" s="40"/>
      <c r="DO60" s="76"/>
      <c r="DP60" s="19"/>
      <c r="DQ60" s="19"/>
      <c r="DR60" s="19"/>
      <c r="DS60" s="13"/>
    </row>
    <row r="61" spans="1:124" ht="12" customHeight="1">
      <c r="A61" s="12"/>
      <c r="B61" s="18"/>
      <c r="C61" s="19"/>
      <c r="D61" s="19"/>
      <c r="E61" s="19"/>
      <c r="F61" s="73"/>
      <c r="G61" s="146"/>
      <c r="H61" s="147"/>
      <c r="I61" s="147"/>
      <c r="J61" s="147"/>
      <c r="K61" s="147"/>
      <c r="L61" s="147"/>
      <c r="M61" s="147"/>
      <c r="N61" s="147"/>
      <c r="O61" s="147"/>
      <c r="P61" s="147"/>
      <c r="Q61" s="147"/>
      <c r="R61" s="147"/>
      <c r="S61" s="147"/>
      <c r="T61" s="147"/>
      <c r="U61" s="147"/>
      <c r="V61" s="148"/>
      <c r="W61" s="19"/>
      <c r="X61" s="33"/>
      <c r="Y61" s="128" t="s">
        <v>945</v>
      </c>
      <c r="Z61" s="128"/>
      <c r="AA61" s="128"/>
      <c r="AB61" s="128"/>
      <c r="AC61" s="128"/>
      <c r="AD61" s="128"/>
      <c r="AE61" s="128"/>
      <c r="AF61" s="23" t="s">
        <v>937</v>
      </c>
      <c r="AG61" s="128" t="s">
        <v>946</v>
      </c>
      <c r="AH61" s="128"/>
      <c r="AI61" s="128"/>
      <c r="AJ61" s="128"/>
      <c r="AK61" s="128"/>
      <c r="AL61" s="128"/>
      <c r="AM61" s="128"/>
      <c r="AN61" s="34"/>
      <c r="AO61" s="19"/>
      <c r="AP61" s="33"/>
      <c r="AQ61" s="128" t="s">
        <v>945</v>
      </c>
      <c r="AR61" s="128"/>
      <c r="AS61" s="128"/>
      <c r="AT61" s="128"/>
      <c r="AU61" s="128"/>
      <c r="AV61" s="128"/>
      <c r="AW61" s="128"/>
      <c r="AX61" s="128"/>
      <c r="AY61" s="23" t="s">
        <v>937</v>
      </c>
      <c r="AZ61" s="128" t="s">
        <v>946</v>
      </c>
      <c r="BA61" s="128"/>
      <c r="BB61" s="128"/>
      <c r="BC61" s="128"/>
      <c r="BD61" s="128"/>
      <c r="BE61" s="128"/>
      <c r="BF61" s="128"/>
      <c r="BG61" s="34"/>
      <c r="BH61" s="19"/>
      <c r="BI61" s="33"/>
      <c r="BJ61" s="128" t="s">
        <v>945</v>
      </c>
      <c r="BK61" s="128"/>
      <c r="BL61" s="128"/>
      <c r="BM61" s="128"/>
      <c r="BN61" s="128"/>
      <c r="BO61" s="128"/>
      <c r="BP61" s="128"/>
      <c r="BQ61" s="23" t="s">
        <v>937</v>
      </c>
      <c r="BR61" s="128" t="s">
        <v>946</v>
      </c>
      <c r="BS61" s="128"/>
      <c r="BT61" s="128"/>
      <c r="BU61" s="128"/>
      <c r="BV61" s="128"/>
      <c r="BW61" s="128"/>
      <c r="BX61" s="128"/>
      <c r="BY61" s="128"/>
      <c r="BZ61" s="34"/>
      <c r="CA61" s="19"/>
      <c r="CB61" s="33"/>
      <c r="CC61" s="128" t="s">
        <v>945</v>
      </c>
      <c r="CD61" s="128"/>
      <c r="CE61" s="128"/>
      <c r="CF61" s="128"/>
      <c r="CG61" s="128"/>
      <c r="CH61" s="128"/>
      <c r="CI61" s="128"/>
      <c r="CJ61" s="128"/>
      <c r="CK61" s="23" t="s">
        <v>937</v>
      </c>
      <c r="CL61" s="128" t="s">
        <v>946</v>
      </c>
      <c r="CM61" s="128"/>
      <c r="CN61" s="128"/>
      <c r="CO61" s="128"/>
      <c r="CP61" s="128"/>
      <c r="CQ61" s="128"/>
      <c r="CR61" s="128"/>
      <c r="CS61" s="128"/>
      <c r="CT61" s="34"/>
      <c r="CU61" s="19"/>
      <c r="CV61" s="33"/>
      <c r="CW61" s="128" t="s">
        <v>945</v>
      </c>
      <c r="CX61" s="128"/>
      <c r="CY61" s="128"/>
      <c r="CZ61" s="128"/>
      <c r="DA61" s="128"/>
      <c r="DB61" s="128"/>
      <c r="DC61" s="128"/>
      <c r="DD61" s="128"/>
      <c r="DE61" s="23" t="s">
        <v>937</v>
      </c>
      <c r="DF61" s="128" t="s">
        <v>946</v>
      </c>
      <c r="DG61" s="128"/>
      <c r="DH61" s="128"/>
      <c r="DI61" s="128"/>
      <c r="DJ61" s="128"/>
      <c r="DK61" s="128"/>
      <c r="DL61" s="128"/>
      <c r="DM61" s="128"/>
      <c r="DN61" s="34"/>
      <c r="DO61" s="76"/>
      <c r="DP61" s="19"/>
      <c r="DQ61" s="19"/>
      <c r="DR61" s="19"/>
      <c r="DS61" s="13"/>
    </row>
    <row r="62" spans="1:124" ht="12" customHeight="1">
      <c r="A62" s="12"/>
      <c r="B62" s="18"/>
      <c r="C62" s="19"/>
      <c r="D62" s="19"/>
      <c r="E62" s="19"/>
      <c r="F62" s="73"/>
      <c r="G62" s="146"/>
      <c r="H62" s="147"/>
      <c r="I62" s="147"/>
      <c r="J62" s="147"/>
      <c r="K62" s="147"/>
      <c r="L62" s="147"/>
      <c r="M62" s="147"/>
      <c r="N62" s="147"/>
      <c r="O62" s="147"/>
      <c r="P62" s="147"/>
      <c r="Q62" s="147"/>
      <c r="R62" s="147"/>
      <c r="S62" s="147"/>
      <c r="T62" s="147"/>
      <c r="U62" s="147"/>
      <c r="V62" s="148"/>
      <c r="W62" s="19"/>
      <c r="X62" s="33"/>
      <c r="Y62" s="128" t="s">
        <v>947</v>
      </c>
      <c r="Z62" s="128"/>
      <c r="AA62" s="128"/>
      <c r="AB62" s="26" t="s">
        <v>948</v>
      </c>
      <c r="AC62" s="128" t="s">
        <v>949</v>
      </c>
      <c r="AD62" s="128"/>
      <c r="AE62" s="128"/>
      <c r="AF62" s="23"/>
      <c r="AG62" s="128" t="s">
        <v>947</v>
      </c>
      <c r="AH62" s="128"/>
      <c r="AI62" s="128"/>
      <c r="AJ62" s="26" t="s">
        <v>948</v>
      </c>
      <c r="AK62" s="128" t="s">
        <v>949</v>
      </c>
      <c r="AL62" s="128"/>
      <c r="AM62" s="128"/>
      <c r="AN62" s="34"/>
      <c r="AO62" s="19"/>
      <c r="AP62" s="33"/>
      <c r="AQ62" s="128" t="s">
        <v>947</v>
      </c>
      <c r="AR62" s="128"/>
      <c r="AS62" s="128"/>
      <c r="AT62" s="128"/>
      <c r="AU62" s="26" t="s">
        <v>948</v>
      </c>
      <c r="AV62" s="128" t="s">
        <v>949</v>
      </c>
      <c r="AW62" s="128"/>
      <c r="AX62" s="128"/>
      <c r="AY62" s="23"/>
      <c r="AZ62" s="128" t="s">
        <v>947</v>
      </c>
      <c r="BA62" s="128"/>
      <c r="BB62" s="128"/>
      <c r="BC62" s="26" t="s">
        <v>948</v>
      </c>
      <c r="BD62" s="128" t="s">
        <v>949</v>
      </c>
      <c r="BE62" s="128"/>
      <c r="BF62" s="128"/>
      <c r="BG62" s="34"/>
      <c r="BH62" s="19"/>
      <c r="BI62" s="33"/>
      <c r="BJ62" s="128" t="s">
        <v>947</v>
      </c>
      <c r="BK62" s="128"/>
      <c r="BL62" s="128"/>
      <c r="BM62" s="26" t="s">
        <v>948</v>
      </c>
      <c r="BN62" s="128" t="s">
        <v>949</v>
      </c>
      <c r="BO62" s="128"/>
      <c r="BP62" s="128"/>
      <c r="BQ62" s="23"/>
      <c r="BR62" s="128" t="s">
        <v>947</v>
      </c>
      <c r="BS62" s="128"/>
      <c r="BT62" s="128"/>
      <c r="BU62" s="26" t="s">
        <v>948</v>
      </c>
      <c r="BV62" s="128" t="s">
        <v>949</v>
      </c>
      <c r="BW62" s="128"/>
      <c r="BX62" s="128"/>
      <c r="BY62" s="128"/>
      <c r="BZ62" s="34"/>
      <c r="CA62" s="19"/>
      <c r="CB62" s="33"/>
      <c r="CC62" s="128" t="s">
        <v>947</v>
      </c>
      <c r="CD62" s="128"/>
      <c r="CE62" s="128"/>
      <c r="CF62" s="132" t="s">
        <v>948</v>
      </c>
      <c r="CG62" s="132"/>
      <c r="CH62" s="128" t="s">
        <v>949</v>
      </c>
      <c r="CI62" s="128"/>
      <c r="CJ62" s="128"/>
      <c r="CK62" s="23"/>
      <c r="CL62" s="128" t="s">
        <v>947</v>
      </c>
      <c r="CM62" s="128"/>
      <c r="CN62" s="128"/>
      <c r="CO62" s="128"/>
      <c r="CP62" s="26" t="s">
        <v>948</v>
      </c>
      <c r="CQ62" s="128" t="s">
        <v>949</v>
      </c>
      <c r="CR62" s="128"/>
      <c r="CS62" s="128"/>
      <c r="CT62" s="34"/>
      <c r="CU62" s="19"/>
      <c r="CV62" s="33"/>
      <c r="CW62" s="128" t="s">
        <v>947</v>
      </c>
      <c r="CX62" s="128"/>
      <c r="CY62" s="128"/>
      <c r="CZ62" s="132" t="s">
        <v>948</v>
      </c>
      <c r="DA62" s="132"/>
      <c r="DB62" s="128" t="s">
        <v>949</v>
      </c>
      <c r="DC62" s="128"/>
      <c r="DD62" s="128"/>
      <c r="DE62" s="23"/>
      <c r="DF62" s="128" t="s">
        <v>947</v>
      </c>
      <c r="DG62" s="128"/>
      <c r="DH62" s="128"/>
      <c r="DI62" s="132" t="s">
        <v>948</v>
      </c>
      <c r="DJ62" s="132"/>
      <c r="DK62" s="128" t="s">
        <v>949</v>
      </c>
      <c r="DL62" s="128"/>
      <c r="DM62" s="128"/>
      <c r="DN62" s="34"/>
      <c r="DO62" s="76"/>
      <c r="DP62" s="19"/>
      <c r="DQ62" s="19"/>
      <c r="DR62" s="19"/>
      <c r="DS62" s="13"/>
    </row>
    <row r="63" spans="1:124" ht="20.100000000000001" customHeight="1">
      <c r="A63" s="12"/>
      <c r="B63" s="18"/>
      <c r="C63" s="19"/>
      <c r="D63" s="19"/>
      <c r="E63" s="19"/>
      <c r="F63" s="73"/>
      <c r="G63" s="146"/>
      <c r="H63" s="147"/>
      <c r="I63" s="147"/>
      <c r="J63" s="147"/>
      <c r="K63" s="147"/>
      <c r="L63" s="147"/>
      <c r="M63" s="147"/>
      <c r="N63" s="147"/>
      <c r="O63" s="147"/>
      <c r="P63" s="147"/>
      <c r="Q63" s="147"/>
      <c r="R63" s="147"/>
      <c r="S63" s="147"/>
      <c r="T63" s="147"/>
      <c r="U63" s="147"/>
      <c r="V63" s="148"/>
      <c r="W63" s="19"/>
      <c r="X63" s="33"/>
      <c r="Y63" s="207">
        <v>30</v>
      </c>
      <c r="Z63" s="207"/>
      <c r="AA63" s="207"/>
      <c r="AB63" s="28" t="s">
        <v>948</v>
      </c>
      <c r="AC63" s="207">
        <v>10</v>
      </c>
      <c r="AD63" s="207"/>
      <c r="AE63" s="207"/>
      <c r="AF63" s="25"/>
      <c r="AG63" s="207">
        <v>30</v>
      </c>
      <c r="AH63" s="207"/>
      <c r="AI63" s="207"/>
      <c r="AJ63" s="28" t="s">
        <v>948</v>
      </c>
      <c r="AK63" s="207">
        <v>14</v>
      </c>
      <c r="AL63" s="207"/>
      <c r="AM63" s="207"/>
      <c r="AN63" s="34"/>
      <c r="AO63" s="19"/>
      <c r="AP63" s="33"/>
      <c r="AQ63" s="207">
        <v>30</v>
      </c>
      <c r="AR63" s="207"/>
      <c r="AS63" s="207"/>
      <c r="AT63" s="207"/>
      <c r="AU63" s="28" t="s">
        <v>948</v>
      </c>
      <c r="AV63" s="207">
        <v>10</v>
      </c>
      <c r="AW63" s="207"/>
      <c r="AX63" s="207"/>
      <c r="AY63" s="25"/>
      <c r="AZ63" s="207">
        <v>30</v>
      </c>
      <c r="BA63" s="207"/>
      <c r="BB63" s="207"/>
      <c r="BC63" s="28" t="s">
        <v>948</v>
      </c>
      <c r="BD63" s="207">
        <v>14</v>
      </c>
      <c r="BE63" s="207"/>
      <c r="BF63" s="207"/>
      <c r="BG63" s="34"/>
      <c r="BH63" s="19"/>
      <c r="BI63" s="33"/>
      <c r="BJ63" s="207">
        <v>30</v>
      </c>
      <c r="BK63" s="207"/>
      <c r="BL63" s="207"/>
      <c r="BM63" s="28" t="s">
        <v>948</v>
      </c>
      <c r="BN63" s="207">
        <v>10</v>
      </c>
      <c r="BO63" s="207"/>
      <c r="BP63" s="207"/>
      <c r="BQ63" s="25"/>
      <c r="BR63" s="207">
        <v>30</v>
      </c>
      <c r="BS63" s="207"/>
      <c r="BT63" s="207"/>
      <c r="BU63" s="28" t="s">
        <v>948</v>
      </c>
      <c r="BV63" s="207">
        <v>14</v>
      </c>
      <c r="BW63" s="207"/>
      <c r="BX63" s="207"/>
      <c r="BY63" s="207"/>
      <c r="BZ63" s="34"/>
      <c r="CA63" s="19"/>
      <c r="CB63" s="33"/>
      <c r="CC63" s="207">
        <v>30</v>
      </c>
      <c r="CD63" s="207"/>
      <c r="CE63" s="207"/>
      <c r="CF63" s="131" t="s">
        <v>948</v>
      </c>
      <c r="CG63" s="131"/>
      <c r="CH63" s="207">
        <v>10</v>
      </c>
      <c r="CI63" s="207"/>
      <c r="CJ63" s="207"/>
      <c r="CK63" s="25"/>
      <c r="CL63" s="207">
        <v>30</v>
      </c>
      <c r="CM63" s="207"/>
      <c r="CN63" s="207"/>
      <c r="CO63" s="207"/>
      <c r="CP63" s="28" t="s">
        <v>948</v>
      </c>
      <c r="CQ63" s="207">
        <v>14</v>
      </c>
      <c r="CR63" s="207"/>
      <c r="CS63" s="207"/>
      <c r="CT63" s="34"/>
      <c r="CU63" s="19"/>
      <c r="CV63" s="33"/>
      <c r="CW63" s="207">
        <v>30</v>
      </c>
      <c r="CX63" s="207"/>
      <c r="CY63" s="207"/>
      <c r="CZ63" s="131" t="s">
        <v>948</v>
      </c>
      <c r="DA63" s="131"/>
      <c r="DB63" s="207">
        <v>10</v>
      </c>
      <c r="DC63" s="207"/>
      <c r="DD63" s="207"/>
      <c r="DE63" s="25"/>
      <c r="DF63" s="207">
        <v>30</v>
      </c>
      <c r="DG63" s="207"/>
      <c r="DH63" s="207"/>
      <c r="DI63" s="131" t="s">
        <v>948</v>
      </c>
      <c r="DJ63" s="131"/>
      <c r="DK63" s="207">
        <v>14</v>
      </c>
      <c r="DL63" s="207"/>
      <c r="DM63" s="207"/>
      <c r="DN63" s="34"/>
      <c r="DO63" s="76"/>
      <c r="DP63" s="19"/>
      <c r="DQ63" s="19"/>
      <c r="DR63" s="19"/>
      <c r="DS63" s="13"/>
    </row>
    <row r="64" spans="1:124" ht="5.0999999999999996" customHeight="1">
      <c r="A64" s="12"/>
      <c r="B64" s="18"/>
      <c r="C64" s="19"/>
      <c r="D64" s="19"/>
      <c r="E64" s="19"/>
      <c r="F64" s="73"/>
      <c r="G64" s="149"/>
      <c r="H64" s="150"/>
      <c r="I64" s="150"/>
      <c r="J64" s="150"/>
      <c r="K64" s="150"/>
      <c r="L64" s="150"/>
      <c r="M64" s="150"/>
      <c r="N64" s="150"/>
      <c r="O64" s="150"/>
      <c r="P64" s="150"/>
      <c r="Q64" s="150"/>
      <c r="R64" s="150"/>
      <c r="S64" s="150"/>
      <c r="T64" s="150"/>
      <c r="U64" s="150"/>
      <c r="V64" s="151"/>
      <c r="W64" s="19"/>
      <c r="X64" s="35"/>
      <c r="Y64" s="36"/>
      <c r="Z64" s="36"/>
      <c r="AA64" s="36"/>
      <c r="AB64" s="36"/>
      <c r="AC64" s="36"/>
      <c r="AD64" s="36"/>
      <c r="AE64" s="36"/>
      <c r="AF64" s="36"/>
      <c r="AG64" s="36"/>
      <c r="AH64" s="36"/>
      <c r="AI64" s="36"/>
      <c r="AJ64" s="36"/>
      <c r="AK64" s="36"/>
      <c r="AL64" s="36"/>
      <c r="AM64" s="36"/>
      <c r="AN64" s="37"/>
      <c r="AO64" s="19"/>
      <c r="AP64" s="35"/>
      <c r="AQ64" s="36"/>
      <c r="AR64" s="36"/>
      <c r="AS64" s="36"/>
      <c r="AT64" s="36"/>
      <c r="AU64" s="36"/>
      <c r="AV64" s="36"/>
      <c r="AW64" s="36"/>
      <c r="AX64" s="36"/>
      <c r="AY64" s="36"/>
      <c r="AZ64" s="36"/>
      <c r="BA64" s="36"/>
      <c r="BB64" s="36"/>
      <c r="BC64" s="36"/>
      <c r="BD64" s="36"/>
      <c r="BE64" s="36"/>
      <c r="BF64" s="36"/>
      <c r="BG64" s="37"/>
      <c r="BH64" s="19"/>
      <c r="BI64" s="35"/>
      <c r="BJ64" s="36"/>
      <c r="BK64" s="36"/>
      <c r="BL64" s="36"/>
      <c r="BM64" s="36"/>
      <c r="BN64" s="36"/>
      <c r="BO64" s="36"/>
      <c r="BP64" s="36"/>
      <c r="BQ64" s="36"/>
      <c r="BR64" s="36"/>
      <c r="BS64" s="36"/>
      <c r="BT64" s="36"/>
      <c r="BU64" s="36"/>
      <c r="BV64" s="36"/>
      <c r="BW64" s="36"/>
      <c r="BX64" s="36"/>
      <c r="BY64" s="36"/>
      <c r="BZ64" s="37"/>
      <c r="CA64" s="19"/>
      <c r="CB64" s="35"/>
      <c r="CC64" s="36"/>
      <c r="CD64" s="36"/>
      <c r="CE64" s="36"/>
      <c r="CF64" s="36"/>
      <c r="CG64" s="36"/>
      <c r="CH64" s="36"/>
      <c r="CI64" s="36"/>
      <c r="CJ64" s="36"/>
      <c r="CK64" s="36"/>
      <c r="CL64" s="36"/>
      <c r="CM64" s="36"/>
      <c r="CN64" s="36"/>
      <c r="CO64" s="36"/>
      <c r="CP64" s="36"/>
      <c r="CQ64" s="36"/>
      <c r="CR64" s="36"/>
      <c r="CS64" s="36"/>
      <c r="CT64" s="37"/>
      <c r="CU64" s="19"/>
      <c r="CV64" s="35"/>
      <c r="CW64" s="36"/>
      <c r="CX64" s="36"/>
      <c r="CY64" s="36"/>
      <c r="CZ64" s="36"/>
      <c r="DA64" s="36"/>
      <c r="DB64" s="36"/>
      <c r="DC64" s="36"/>
      <c r="DD64" s="36"/>
      <c r="DE64" s="36"/>
      <c r="DF64" s="36"/>
      <c r="DG64" s="36"/>
      <c r="DH64" s="36"/>
      <c r="DI64" s="36"/>
      <c r="DJ64" s="36"/>
      <c r="DK64" s="36"/>
      <c r="DL64" s="36"/>
      <c r="DM64" s="36"/>
      <c r="DN64" s="37"/>
      <c r="DO64" s="76"/>
      <c r="DP64" s="19"/>
      <c r="DQ64" s="19"/>
      <c r="DR64" s="19"/>
      <c r="DS64" s="13"/>
    </row>
    <row r="65" spans="1:124" ht="5.0999999999999996" customHeight="1">
      <c r="A65" s="12"/>
      <c r="B65" s="18"/>
      <c r="C65" s="19"/>
      <c r="D65" s="19"/>
      <c r="E65" s="19"/>
      <c r="F65" s="74"/>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77"/>
      <c r="DP65" s="19"/>
      <c r="DQ65" s="19"/>
      <c r="DR65" s="19"/>
      <c r="DS65" s="12"/>
      <c r="DT65" s="13"/>
    </row>
    <row r="66" spans="1:124" ht="15" customHeight="1">
      <c r="A66" s="12"/>
      <c r="B66" s="18"/>
      <c r="C66" s="19"/>
      <c r="D66" s="19"/>
      <c r="E66" s="19"/>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c r="CX66" s="71"/>
      <c r="CY66" s="71"/>
      <c r="CZ66" s="71"/>
      <c r="DA66" s="71"/>
      <c r="DB66" s="71"/>
      <c r="DC66" s="71"/>
      <c r="DD66" s="71"/>
      <c r="DE66" s="71"/>
      <c r="DF66" s="71"/>
      <c r="DG66" s="71"/>
      <c r="DH66" s="71"/>
      <c r="DI66" s="71"/>
      <c r="DJ66" s="71"/>
      <c r="DK66" s="71"/>
      <c r="DL66" s="71"/>
      <c r="DM66" s="71"/>
      <c r="DN66" s="71"/>
      <c r="DO66" s="71"/>
      <c r="DP66" s="19"/>
      <c r="DQ66" s="19"/>
      <c r="DR66" s="19"/>
      <c r="DS66" s="12"/>
      <c r="DT66" s="13"/>
    </row>
    <row r="67" spans="1:124" ht="5.0999999999999996" customHeight="1">
      <c r="A67" s="12"/>
      <c r="B67" s="18"/>
      <c r="C67" s="19"/>
      <c r="D67" s="19"/>
      <c r="E67" s="19"/>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19"/>
      <c r="DQ67" s="19"/>
      <c r="DR67" s="19"/>
      <c r="DS67" s="12"/>
      <c r="DT67" s="13"/>
    </row>
    <row r="68" spans="1:124" ht="15" customHeight="1">
      <c r="A68" s="12"/>
      <c r="B68" s="18"/>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2"/>
      <c r="DT68" s="13"/>
    </row>
    <row r="69" spans="1:124" ht="30" customHeight="1">
      <c r="A69" s="12"/>
      <c r="B69" s="18"/>
      <c r="C69" s="19"/>
      <c r="D69" s="19"/>
      <c r="E69" s="19"/>
      <c r="F69" s="161" t="s">
        <v>952</v>
      </c>
      <c r="G69" s="162"/>
      <c r="H69" s="162"/>
      <c r="I69" s="162"/>
      <c r="J69" s="162"/>
      <c r="K69" s="162"/>
      <c r="L69" s="162"/>
      <c r="M69" s="162"/>
      <c r="N69" s="162"/>
      <c r="O69" s="162"/>
      <c r="P69" s="162"/>
      <c r="Q69" s="162"/>
      <c r="R69" s="162"/>
      <c r="S69" s="162"/>
      <c r="T69" s="162"/>
      <c r="U69" s="162"/>
      <c r="V69" s="162"/>
      <c r="W69" s="162"/>
      <c r="X69" s="162"/>
      <c r="Y69" s="162"/>
      <c r="Z69" s="162"/>
      <c r="AA69" s="162"/>
      <c r="AB69" s="162"/>
      <c r="AC69" s="162"/>
      <c r="AD69" s="162"/>
      <c r="AE69" s="162"/>
      <c r="AF69" s="162"/>
      <c r="AG69" s="162"/>
      <c r="AH69" s="162"/>
      <c r="AI69" s="162"/>
      <c r="AJ69" s="162"/>
      <c r="AK69" s="162"/>
      <c r="AL69" s="162"/>
      <c r="AM69" s="162"/>
      <c r="AN69" s="162"/>
      <c r="AO69" s="162"/>
      <c r="AP69" s="162"/>
      <c r="AQ69" s="162"/>
      <c r="AR69" s="162"/>
      <c r="AS69" s="162"/>
      <c r="AT69" s="162"/>
      <c r="AU69" s="162"/>
      <c r="AV69" s="162"/>
      <c r="AW69" s="162"/>
      <c r="AX69" s="162"/>
      <c r="AY69" s="162"/>
      <c r="AZ69" s="162"/>
      <c r="BA69" s="162"/>
      <c r="BB69" s="162"/>
      <c r="BC69" s="162"/>
      <c r="BD69" s="162"/>
      <c r="BE69" s="162"/>
      <c r="BF69" s="162"/>
      <c r="BG69" s="162"/>
      <c r="BH69" s="162"/>
      <c r="BI69" s="162"/>
      <c r="BJ69" s="162"/>
      <c r="BK69" s="162"/>
      <c r="BL69" s="162"/>
      <c r="BM69" s="162"/>
      <c r="BN69" s="162"/>
      <c r="BO69" s="162"/>
      <c r="BP69" s="162"/>
      <c r="BQ69" s="162"/>
      <c r="BR69" s="162"/>
      <c r="BS69" s="162"/>
      <c r="BT69" s="162"/>
      <c r="BU69" s="162"/>
      <c r="BV69" s="162"/>
      <c r="BW69" s="162"/>
      <c r="BX69" s="162"/>
      <c r="BY69" s="162"/>
      <c r="BZ69" s="162"/>
      <c r="CA69" s="162"/>
      <c r="CB69" s="162"/>
      <c r="CC69" s="162"/>
      <c r="CD69" s="162"/>
      <c r="CE69" s="162"/>
      <c r="CF69" s="162"/>
      <c r="CG69" s="162"/>
      <c r="CH69" s="162"/>
      <c r="CI69" s="162"/>
      <c r="CJ69" s="162"/>
      <c r="CK69" s="162"/>
      <c r="CL69" s="162"/>
      <c r="CM69" s="162"/>
      <c r="CN69" s="162"/>
      <c r="CO69" s="162"/>
      <c r="CP69" s="162"/>
      <c r="CQ69" s="162"/>
      <c r="CR69" s="162"/>
      <c r="CS69" s="162"/>
      <c r="CT69" s="162"/>
      <c r="CU69" s="162"/>
      <c r="CV69" s="162"/>
      <c r="CW69" s="162"/>
      <c r="CX69" s="162"/>
      <c r="CY69" s="162"/>
      <c r="CZ69" s="162"/>
      <c r="DA69" s="162"/>
      <c r="DB69" s="162"/>
      <c r="DC69" s="162"/>
      <c r="DD69" s="162"/>
      <c r="DE69" s="162"/>
      <c r="DF69" s="162"/>
      <c r="DG69" s="162"/>
      <c r="DH69" s="162"/>
      <c r="DI69" s="162"/>
      <c r="DJ69" s="162"/>
      <c r="DK69" s="162"/>
      <c r="DL69" s="162"/>
      <c r="DM69" s="162"/>
      <c r="DN69" s="163"/>
      <c r="DO69" s="19"/>
      <c r="DP69" s="19"/>
      <c r="DQ69" s="19"/>
      <c r="DR69" s="19"/>
      <c r="DS69" s="12"/>
      <c r="DT69" s="13"/>
    </row>
    <row r="70" spans="1:124" ht="15" customHeight="1">
      <c r="A70" s="12"/>
      <c r="B70" s="18"/>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2"/>
      <c r="DT70" s="13"/>
    </row>
    <row r="71" spans="1:124" ht="5.0999999999999996" customHeight="1">
      <c r="A71" s="12"/>
      <c r="B71" s="18"/>
      <c r="C71" s="19"/>
      <c r="D71" s="19"/>
      <c r="E71" s="19"/>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19"/>
      <c r="DQ71" s="19"/>
      <c r="DR71" s="19"/>
      <c r="DS71" s="12"/>
      <c r="DT71" s="13"/>
    </row>
    <row r="72" spans="1:124" ht="15" customHeight="1">
      <c r="A72" s="12"/>
      <c r="B72" s="18"/>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2"/>
      <c r="DT72" s="13"/>
    </row>
    <row r="73" spans="1:124" ht="5.0999999999999996" customHeight="1">
      <c r="A73" s="12"/>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3"/>
    </row>
    <row r="74" spans="1:124" s="27" customFormat="1" ht="5.0999999999999996" customHeight="1">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c r="CE74" s="30"/>
      <c r="CF74" s="30"/>
      <c r="CG74" s="30"/>
      <c r="CH74" s="30"/>
      <c r="CI74" s="30"/>
      <c r="CJ74" s="30"/>
      <c r="CK74" s="30"/>
      <c r="CL74" s="30"/>
      <c r="CM74" s="30"/>
      <c r="CN74" s="30"/>
      <c r="CO74" s="30"/>
      <c r="CP74" s="30"/>
      <c r="CQ74" s="30"/>
      <c r="CR74" s="30"/>
      <c r="CS74" s="30"/>
      <c r="CT74" s="30"/>
      <c r="CU74" s="30"/>
      <c r="CV74" s="30"/>
      <c r="CW74" s="30"/>
      <c r="CX74" s="30"/>
      <c r="CY74" s="30"/>
      <c r="CZ74" s="30"/>
      <c r="DA74" s="30"/>
      <c r="DB74" s="30"/>
      <c r="DC74" s="30"/>
      <c r="DD74" s="30"/>
      <c r="DE74" s="30"/>
      <c r="DF74" s="30"/>
      <c r="DG74" s="30"/>
      <c r="DH74" s="30"/>
      <c r="DI74" s="30"/>
      <c r="DJ74" s="30"/>
      <c r="DK74" s="30"/>
      <c r="DL74" s="30"/>
      <c r="DM74" s="30"/>
      <c r="DN74" s="30"/>
      <c r="DO74" s="30"/>
      <c r="DP74" s="30"/>
      <c r="DQ74" s="30"/>
      <c r="DR74" s="30"/>
      <c r="DS74" s="29"/>
      <c r="DT74" s="5"/>
    </row>
    <row r="75" spans="1:124" s="5" customFormat="1" ht="15" customHeight="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row>
    <row r="76" spans="1:124" s="5" customFormat="1" ht="42" customHeight="1">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2"/>
      <c r="CY76" s="12"/>
      <c r="CZ76" s="12"/>
      <c r="DA76" s="12"/>
      <c r="DB76" s="12"/>
      <c r="DC76" s="12"/>
      <c r="DD76" s="12"/>
      <c r="DE76" s="12"/>
      <c r="DF76" s="12"/>
      <c r="DG76" s="12"/>
      <c r="DH76" s="12"/>
      <c r="DI76" s="12"/>
      <c r="DJ76" s="12"/>
      <c r="DK76" s="12"/>
      <c r="DL76" s="12"/>
      <c r="DM76" s="12"/>
      <c r="DN76" s="12"/>
      <c r="DO76" s="12"/>
      <c r="DP76" s="12"/>
      <c r="DQ76" s="12"/>
      <c r="DR76" s="12"/>
      <c r="DS76" s="12"/>
      <c r="DT76" s="12"/>
    </row>
    <row r="77" spans="1:124" s="5" customFormat="1" ht="30" customHeight="1">
      <c r="B77" s="12"/>
      <c r="C77" s="19"/>
      <c r="D77" s="220" t="s">
        <v>1108</v>
      </c>
      <c r="E77" s="220"/>
      <c r="F77" s="220"/>
      <c r="G77" s="220"/>
      <c r="H77" s="220"/>
      <c r="I77" s="220"/>
      <c r="J77" s="220"/>
      <c r="K77" s="220"/>
      <c r="L77" s="220"/>
      <c r="M77" s="220"/>
      <c r="N77" s="220"/>
      <c r="O77" s="220"/>
      <c r="P77" s="220"/>
      <c r="Q77" s="220"/>
      <c r="R77" s="220"/>
      <c r="S77" s="220"/>
      <c r="T77" s="220"/>
      <c r="U77" s="220"/>
      <c r="V77" s="220"/>
      <c r="W77" s="220"/>
      <c r="X77" s="220"/>
      <c r="Y77" s="220"/>
      <c r="Z77" s="220"/>
      <c r="AA77" s="220"/>
      <c r="AB77" s="220"/>
      <c r="AC77" s="220"/>
      <c r="AD77" s="220"/>
      <c r="AE77" s="220"/>
      <c r="AF77" s="220"/>
      <c r="AG77" s="220"/>
      <c r="AH77" s="220"/>
      <c r="AI77" s="220"/>
      <c r="AJ77" s="220"/>
      <c r="AK77" s="220"/>
      <c r="AL77" s="220"/>
      <c r="AM77" s="220"/>
      <c r="AN77" s="220"/>
      <c r="AO77" s="220"/>
      <c r="AP77" s="220"/>
      <c r="AQ77" s="220"/>
      <c r="AR77" s="220"/>
      <c r="AS77" s="220"/>
      <c r="AT77" s="220"/>
      <c r="AU77" s="220"/>
      <c r="AV77" s="220"/>
      <c r="AW77" s="220"/>
      <c r="AX77" s="220"/>
      <c r="AY77" s="220"/>
      <c r="AZ77" s="220"/>
      <c r="BA77" s="220"/>
      <c r="BB77" s="220"/>
      <c r="BC77" s="220"/>
      <c r="BD77" s="220"/>
      <c r="BE77" s="220"/>
      <c r="BF77" s="220"/>
      <c r="BG77" s="220"/>
      <c r="BH77" s="220"/>
      <c r="BI77" s="220"/>
      <c r="BJ77" s="220"/>
      <c r="BK77" s="220"/>
      <c r="BL77" s="220"/>
      <c r="BM77" s="220"/>
      <c r="BN77" s="220"/>
      <c r="BO77" s="220"/>
      <c r="BP77" s="220"/>
      <c r="BQ77" s="220"/>
      <c r="BR77" s="220"/>
      <c r="BS77" s="220"/>
      <c r="BT77" s="220"/>
      <c r="BU77" s="220"/>
      <c r="BV77" s="220"/>
      <c r="BW77" s="220"/>
      <c r="BX77" s="220"/>
      <c r="BY77" s="220"/>
      <c r="BZ77" s="220"/>
      <c r="CA77" s="220"/>
      <c r="CB77" s="220"/>
      <c r="CC77" s="220"/>
      <c r="CD77" s="220"/>
      <c r="CE77" s="220"/>
      <c r="CF77" s="220"/>
      <c r="CG77" s="220"/>
      <c r="CH77" s="220"/>
      <c r="CI77" s="220"/>
      <c r="CJ77" s="220"/>
      <c r="CK77" s="220"/>
      <c r="CL77" s="220"/>
      <c r="CM77" s="220"/>
      <c r="CN77" s="220"/>
      <c r="CO77" s="220"/>
      <c r="CP77" s="220"/>
      <c r="CQ77" s="220"/>
      <c r="CR77" s="220"/>
      <c r="CS77" s="220"/>
      <c r="CT77" s="220"/>
      <c r="CU77" s="220"/>
      <c r="CV77" s="220"/>
      <c r="CW77" s="220"/>
      <c r="CX77" s="220"/>
      <c r="CY77" s="220"/>
      <c r="CZ77" s="220"/>
      <c r="DA77" s="220"/>
      <c r="DB77" s="220"/>
      <c r="DC77" s="220"/>
      <c r="DD77" s="220"/>
      <c r="DE77" s="220"/>
      <c r="DF77" s="220"/>
      <c r="DG77" s="220"/>
      <c r="DH77" s="220"/>
      <c r="DI77" s="220"/>
      <c r="DJ77" s="220"/>
      <c r="DK77" s="220"/>
      <c r="DL77" s="220"/>
      <c r="DM77" s="220"/>
      <c r="DN77" s="220"/>
      <c r="DO77" s="220"/>
      <c r="DP77" s="220"/>
      <c r="DQ77" s="220"/>
      <c r="DR77" s="19"/>
      <c r="DS77" s="12"/>
      <c r="DT77" s="12"/>
    </row>
    <row r="78" spans="1:124" s="5" customFormat="1" ht="5.0999999999999996" customHeight="1">
      <c r="B78" s="12"/>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2"/>
      <c r="DT78" s="12"/>
    </row>
    <row r="79" spans="1:124" s="5" customFormat="1" ht="30" customHeight="1">
      <c r="B79" s="12"/>
      <c r="C79" s="19"/>
      <c r="D79" s="221" t="s">
        <v>1109</v>
      </c>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2"/>
      <c r="AX79" s="222"/>
      <c r="AY79" s="222"/>
      <c r="AZ79" s="222"/>
      <c r="BA79" s="222"/>
      <c r="BB79" s="222"/>
      <c r="BC79" s="222"/>
      <c r="BD79" s="222"/>
      <c r="BE79" s="222"/>
      <c r="BF79" s="222"/>
      <c r="BG79" s="222"/>
      <c r="BH79" s="222"/>
      <c r="BI79" s="222"/>
      <c r="BJ79" s="222"/>
      <c r="BK79" s="222"/>
      <c r="BL79" s="222"/>
      <c r="BM79" s="222"/>
      <c r="BN79" s="222"/>
      <c r="BO79" s="222"/>
      <c r="BP79" s="222"/>
      <c r="BQ79" s="222"/>
      <c r="BR79" s="222"/>
      <c r="BS79" s="222"/>
      <c r="BT79" s="222"/>
      <c r="BU79" s="222"/>
      <c r="BV79" s="222"/>
      <c r="BW79" s="222"/>
      <c r="BX79" s="222"/>
      <c r="BY79" s="222"/>
      <c r="BZ79" s="222"/>
      <c r="CA79" s="222"/>
      <c r="CB79" s="222"/>
      <c r="CC79" s="222"/>
      <c r="CD79" s="222"/>
      <c r="CE79" s="222"/>
      <c r="CF79" s="222"/>
      <c r="CG79" s="222"/>
      <c r="CH79" s="222"/>
      <c r="CI79" s="222"/>
      <c r="CJ79" s="222"/>
      <c r="CK79" s="222"/>
      <c r="CL79" s="222"/>
      <c r="CM79" s="222"/>
      <c r="CN79" s="222"/>
      <c r="CO79" s="222"/>
      <c r="CP79" s="222"/>
      <c r="CQ79" s="222"/>
      <c r="CR79" s="222"/>
      <c r="CS79" s="222"/>
      <c r="CT79" s="222"/>
      <c r="CU79" s="222"/>
      <c r="CV79" s="222"/>
      <c r="CW79" s="222"/>
      <c r="CX79" s="222"/>
      <c r="CY79" s="222"/>
      <c r="CZ79" s="222"/>
      <c r="DA79" s="222"/>
      <c r="DB79" s="222"/>
      <c r="DC79" s="222"/>
      <c r="DD79" s="222"/>
      <c r="DE79" s="222"/>
      <c r="DF79" s="222"/>
      <c r="DG79" s="222"/>
      <c r="DH79" s="222"/>
      <c r="DI79" s="222"/>
      <c r="DJ79" s="222"/>
      <c r="DK79" s="222"/>
      <c r="DL79" s="222"/>
      <c r="DM79" s="222"/>
      <c r="DN79" s="222"/>
      <c r="DO79" s="222"/>
      <c r="DP79" s="222"/>
      <c r="DQ79" s="223"/>
      <c r="DR79" s="19"/>
      <c r="DS79" s="12"/>
      <c r="DT79" s="12"/>
    </row>
    <row r="80" spans="1:124" s="5" customFormat="1" ht="5.0999999999999996" customHeight="1">
      <c r="B80" s="12"/>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2"/>
      <c r="DT80" s="12"/>
    </row>
    <row r="81" spans="1:124" s="5" customFormat="1" ht="30" customHeight="1">
      <c r="B81" s="12"/>
      <c r="C81" s="19"/>
      <c r="D81" s="221" t="s">
        <v>1110</v>
      </c>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c r="AU81" s="222"/>
      <c r="AV81" s="222"/>
      <c r="AW81" s="222"/>
      <c r="AX81" s="222"/>
      <c r="AY81" s="222"/>
      <c r="AZ81" s="222"/>
      <c r="BA81" s="222"/>
      <c r="BB81" s="222"/>
      <c r="BC81" s="222"/>
      <c r="BD81" s="222"/>
      <c r="BE81" s="222"/>
      <c r="BF81" s="222"/>
      <c r="BG81" s="222"/>
      <c r="BH81" s="222"/>
      <c r="BI81" s="222"/>
      <c r="BJ81" s="222"/>
      <c r="BK81" s="222"/>
      <c r="BL81" s="222"/>
      <c r="BM81" s="222"/>
      <c r="BN81" s="222"/>
      <c r="BO81" s="222"/>
      <c r="BP81" s="222"/>
      <c r="BQ81" s="222"/>
      <c r="BR81" s="222"/>
      <c r="BS81" s="222"/>
      <c r="BT81" s="222"/>
      <c r="BU81" s="222"/>
      <c r="BV81" s="222"/>
      <c r="BW81" s="222"/>
      <c r="BX81" s="222"/>
      <c r="BY81" s="222"/>
      <c r="BZ81" s="222"/>
      <c r="CA81" s="222"/>
      <c r="CB81" s="222"/>
      <c r="CC81" s="222"/>
      <c r="CD81" s="222"/>
      <c r="CE81" s="222"/>
      <c r="CF81" s="222"/>
      <c r="CG81" s="222"/>
      <c r="CH81" s="222"/>
      <c r="CI81" s="222"/>
      <c r="CJ81" s="222"/>
      <c r="CK81" s="222"/>
      <c r="CL81" s="222"/>
      <c r="CM81" s="222"/>
      <c r="CN81" s="222"/>
      <c r="CO81" s="222"/>
      <c r="CP81" s="222"/>
      <c r="CQ81" s="222"/>
      <c r="CR81" s="222"/>
      <c r="CS81" s="222"/>
      <c r="CT81" s="222"/>
      <c r="CU81" s="222"/>
      <c r="CV81" s="222"/>
      <c r="CW81" s="222"/>
      <c r="CX81" s="222"/>
      <c r="CY81" s="222"/>
      <c r="CZ81" s="222"/>
      <c r="DA81" s="222"/>
      <c r="DB81" s="222"/>
      <c r="DC81" s="222"/>
      <c r="DD81" s="222"/>
      <c r="DE81" s="222"/>
      <c r="DF81" s="222"/>
      <c r="DG81" s="222"/>
      <c r="DH81" s="222"/>
      <c r="DI81" s="222"/>
      <c r="DJ81" s="222"/>
      <c r="DK81" s="222"/>
      <c r="DL81" s="222"/>
      <c r="DM81" s="222"/>
      <c r="DN81" s="222"/>
      <c r="DO81" s="222"/>
      <c r="DP81" s="222"/>
      <c r="DQ81" s="223"/>
      <c r="DR81" s="19"/>
      <c r="DS81" s="12"/>
      <c r="DT81" s="12"/>
    </row>
    <row r="82" spans="1:124" s="5" customFormat="1" ht="5.0999999999999996" customHeight="1">
      <c r="B82" s="12"/>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2"/>
      <c r="DT82" s="12"/>
    </row>
    <row r="83" spans="1:124" s="17" customFormat="1" ht="277.5" customHeight="1">
      <c r="A83" s="14"/>
      <c r="B83" s="11"/>
      <c r="C83" s="19"/>
      <c r="D83" s="19"/>
      <c r="E83" s="19"/>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15"/>
      <c r="DG83" s="15"/>
      <c r="DH83" s="15"/>
      <c r="DI83" s="15"/>
      <c r="DJ83" s="15"/>
      <c r="DK83" s="15"/>
      <c r="DL83" s="15"/>
      <c r="DM83" s="15"/>
      <c r="DN83" s="15"/>
      <c r="DO83" s="24"/>
      <c r="DP83" s="15"/>
      <c r="DQ83" s="15"/>
      <c r="DR83" s="15"/>
      <c r="DS83" s="12"/>
      <c r="DT83" s="16"/>
    </row>
    <row r="84" spans="1:124" ht="5.0999999999999996" customHeight="1" thickBot="1">
      <c r="A84" s="12"/>
      <c r="B84" s="18"/>
      <c r="C84" s="19"/>
      <c r="D84" s="19"/>
      <c r="E84" s="19"/>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19"/>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19"/>
      <c r="DQ84" s="19"/>
      <c r="DR84" s="19"/>
      <c r="DS84" s="12"/>
      <c r="DT84" s="13"/>
    </row>
    <row r="85" spans="1:124" ht="20.100000000000001" customHeight="1" thickTop="1" thickBot="1">
      <c r="A85" s="12"/>
      <c r="B85" s="18"/>
      <c r="C85" s="19"/>
      <c r="D85" s="19"/>
      <c r="E85" s="19"/>
      <c r="F85" s="175" t="s">
        <v>930</v>
      </c>
      <c r="G85" s="175"/>
      <c r="H85" s="175"/>
      <c r="I85" s="175"/>
      <c r="J85" s="175"/>
      <c r="K85" s="175"/>
      <c r="L85" s="175"/>
      <c r="M85" s="175"/>
      <c r="N85" s="175"/>
      <c r="O85" s="175"/>
      <c r="P85" s="175"/>
      <c r="Q85" s="175"/>
      <c r="R85" s="175"/>
      <c r="S85" s="175"/>
      <c r="T85" s="175"/>
      <c r="U85" s="175"/>
      <c r="V85" s="216"/>
      <c r="W85" s="217" t="s">
        <v>1111</v>
      </c>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c r="BH85" s="218"/>
      <c r="BI85" s="218"/>
      <c r="BJ85" s="218"/>
      <c r="BK85" s="218"/>
      <c r="BL85" s="218"/>
      <c r="BM85" s="218"/>
      <c r="BN85" s="218"/>
      <c r="BO85" s="218"/>
      <c r="BP85" s="218"/>
      <c r="BQ85" s="218"/>
      <c r="BR85" s="219"/>
      <c r="BS85" s="20"/>
      <c r="BT85" s="19"/>
      <c r="BU85" s="175" t="s">
        <v>954</v>
      </c>
      <c r="BV85" s="175"/>
      <c r="BW85" s="175"/>
      <c r="BX85" s="175"/>
      <c r="BY85" s="175"/>
      <c r="BZ85" s="175"/>
      <c r="CA85" s="175"/>
      <c r="CB85" s="175"/>
      <c r="CC85" s="175"/>
      <c r="CD85" s="175"/>
      <c r="CE85" s="175"/>
      <c r="CF85" s="175"/>
      <c r="CG85" s="175"/>
      <c r="CH85" s="175"/>
      <c r="CI85" s="216"/>
      <c r="CJ85" s="217" t="s">
        <v>955</v>
      </c>
      <c r="CK85" s="218"/>
      <c r="CL85" s="218"/>
      <c r="CM85" s="218"/>
      <c r="CN85" s="218"/>
      <c r="CO85" s="218"/>
      <c r="CP85" s="218"/>
      <c r="CQ85" s="218"/>
      <c r="CR85" s="218"/>
      <c r="CS85" s="218"/>
      <c r="CT85" s="218"/>
      <c r="CU85" s="218"/>
      <c r="CV85" s="218"/>
      <c r="CW85" s="218"/>
      <c r="CX85" s="218"/>
      <c r="CY85" s="218"/>
      <c r="CZ85" s="218"/>
      <c r="DA85" s="218"/>
      <c r="DB85" s="218"/>
      <c r="DC85" s="218"/>
      <c r="DD85" s="218"/>
      <c r="DE85" s="218"/>
      <c r="DF85" s="218"/>
      <c r="DG85" s="218"/>
      <c r="DH85" s="218"/>
      <c r="DI85" s="218"/>
      <c r="DJ85" s="218"/>
      <c r="DK85" s="218"/>
      <c r="DL85" s="218"/>
      <c r="DM85" s="218"/>
      <c r="DN85" s="219"/>
      <c r="DO85" s="20"/>
      <c r="DP85" s="19"/>
      <c r="DQ85" s="19"/>
      <c r="DR85" s="19"/>
      <c r="DS85" s="12"/>
      <c r="DT85" s="13"/>
    </row>
    <row r="86" spans="1:124" ht="5.0999999999999996" customHeight="1" thickTop="1">
      <c r="A86" s="12"/>
      <c r="B86" s="18"/>
      <c r="C86" s="19"/>
      <c r="D86" s="19"/>
      <c r="E86" s="19"/>
      <c r="F86" s="53"/>
      <c r="G86" s="53"/>
      <c r="H86" s="53"/>
      <c r="I86" s="53"/>
      <c r="J86" s="53"/>
      <c r="K86" s="53"/>
      <c r="L86" s="53"/>
      <c r="M86" s="53"/>
      <c r="N86" s="53"/>
      <c r="O86" s="53"/>
      <c r="P86" s="53"/>
      <c r="Q86" s="53"/>
      <c r="R86" s="53"/>
      <c r="S86" s="53"/>
      <c r="T86" s="53"/>
      <c r="U86" s="53"/>
      <c r="V86" s="53"/>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19"/>
      <c r="BU86" s="55"/>
      <c r="BV86" s="55"/>
      <c r="BW86" s="55"/>
      <c r="BX86" s="55"/>
      <c r="BY86" s="55"/>
      <c r="BZ86" s="55"/>
      <c r="CA86" s="55"/>
      <c r="CB86" s="55"/>
      <c r="CC86" s="55"/>
      <c r="CD86" s="55"/>
      <c r="CE86" s="55"/>
      <c r="CF86" s="55"/>
      <c r="CG86" s="55"/>
      <c r="CH86" s="55"/>
      <c r="CI86" s="55"/>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19"/>
      <c r="DQ86" s="19"/>
      <c r="DR86" s="19"/>
      <c r="DS86" s="12"/>
      <c r="DT86" s="13"/>
    </row>
    <row r="87" spans="1:124" ht="5.0999999999999996" customHeight="1">
      <c r="A87" s="12"/>
      <c r="B87" s="18"/>
      <c r="C87" s="19"/>
      <c r="D87" s="19"/>
      <c r="E87" s="19"/>
      <c r="F87" s="54"/>
      <c r="G87" s="54"/>
      <c r="H87" s="54"/>
      <c r="I87" s="54"/>
      <c r="J87" s="54"/>
      <c r="K87" s="54"/>
      <c r="L87" s="54"/>
      <c r="M87" s="54"/>
      <c r="N87" s="54"/>
      <c r="O87" s="54"/>
      <c r="P87" s="54"/>
      <c r="Q87" s="54"/>
      <c r="R87" s="54"/>
      <c r="S87" s="54"/>
      <c r="T87" s="54"/>
      <c r="U87" s="54"/>
      <c r="V87" s="54"/>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56"/>
      <c r="BV87" s="56"/>
      <c r="BW87" s="56"/>
      <c r="BX87" s="56"/>
      <c r="BY87" s="56"/>
      <c r="BZ87" s="56"/>
      <c r="CA87" s="56"/>
      <c r="CB87" s="56"/>
      <c r="CC87" s="56"/>
      <c r="CD87" s="56"/>
      <c r="CE87" s="56"/>
      <c r="CF87" s="56"/>
      <c r="CG87" s="56"/>
      <c r="CH87" s="56"/>
      <c r="CI87" s="56"/>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2"/>
      <c r="DT87" s="13"/>
    </row>
    <row r="88" spans="1:124" ht="5.0999999999999996" customHeight="1" thickBot="1">
      <c r="A88" s="12"/>
      <c r="B88" s="18"/>
      <c r="C88" s="19"/>
      <c r="D88" s="19"/>
      <c r="E88" s="19"/>
      <c r="F88" s="53"/>
      <c r="G88" s="53"/>
      <c r="H88" s="53"/>
      <c r="I88" s="53"/>
      <c r="J88" s="53"/>
      <c r="K88" s="53"/>
      <c r="L88" s="53"/>
      <c r="M88" s="53"/>
      <c r="N88" s="53"/>
      <c r="O88" s="53"/>
      <c r="P88" s="53"/>
      <c r="Q88" s="53"/>
      <c r="R88" s="53"/>
      <c r="S88" s="53"/>
      <c r="T88" s="53"/>
      <c r="U88" s="53"/>
      <c r="V88" s="53"/>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19"/>
      <c r="BU88" s="55"/>
      <c r="BV88" s="55"/>
      <c r="BW88" s="55"/>
      <c r="BX88" s="55"/>
      <c r="BY88" s="55"/>
      <c r="BZ88" s="55"/>
      <c r="CA88" s="55"/>
      <c r="CB88" s="55"/>
      <c r="CC88" s="55"/>
      <c r="CD88" s="55"/>
      <c r="CE88" s="55"/>
      <c r="CF88" s="55"/>
      <c r="CG88" s="55"/>
      <c r="CH88" s="55"/>
      <c r="CI88" s="55"/>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19"/>
      <c r="DQ88" s="19"/>
      <c r="DR88" s="19"/>
      <c r="DS88" s="12"/>
      <c r="DT88" s="13"/>
    </row>
    <row r="89" spans="1:124" ht="20.100000000000001" customHeight="1" thickTop="1" thickBot="1">
      <c r="A89" s="12"/>
      <c r="B89" s="18"/>
      <c r="C89" s="19"/>
      <c r="D89" s="19"/>
      <c r="E89" s="19"/>
      <c r="F89" s="175" t="s">
        <v>956</v>
      </c>
      <c r="G89" s="175"/>
      <c r="H89" s="175"/>
      <c r="I89" s="175"/>
      <c r="J89" s="175"/>
      <c r="K89" s="175"/>
      <c r="L89" s="175"/>
      <c r="M89" s="175"/>
      <c r="N89" s="175"/>
      <c r="O89" s="175"/>
      <c r="P89" s="175"/>
      <c r="Q89" s="175"/>
      <c r="R89" s="175"/>
      <c r="S89" s="175"/>
      <c r="T89" s="175"/>
      <c r="U89" s="175"/>
      <c r="V89" s="216"/>
      <c r="W89" s="217" t="s">
        <v>1112</v>
      </c>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c r="BH89" s="218"/>
      <c r="BI89" s="218"/>
      <c r="BJ89" s="218"/>
      <c r="BK89" s="218"/>
      <c r="BL89" s="218"/>
      <c r="BM89" s="218"/>
      <c r="BN89" s="218"/>
      <c r="BO89" s="218"/>
      <c r="BP89" s="218"/>
      <c r="BQ89" s="218"/>
      <c r="BR89" s="219"/>
      <c r="BS89" s="20"/>
      <c r="BT89" s="19"/>
      <c r="BU89" s="175" t="s">
        <v>958</v>
      </c>
      <c r="BV89" s="175"/>
      <c r="BW89" s="175"/>
      <c r="BX89" s="175"/>
      <c r="BY89" s="175"/>
      <c r="BZ89" s="175"/>
      <c r="CA89" s="175"/>
      <c r="CB89" s="175"/>
      <c r="CC89" s="175"/>
      <c r="CD89" s="175"/>
      <c r="CE89" s="175"/>
      <c r="CF89" s="175"/>
      <c r="CG89" s="175"/>
      <c r="CH89" s="175"/>
      <c r="CI89" s="216"/>
      <c r="CJ89" s="217" t="s">
        <v>994</v>
      </c>
      <c r="CK89" s="218"/>
      <c r="CL89" s="218"/>
      <c r="CM89" s="218"/>
      <c r="CN89" s="218"/>
      <c r="CO89" s="218"/>
      <c r="CP89" s="218"/>
      <c r="CQ89" s="218"/>
      <c r="CR89" s="218"/>
      <c r="CS89" s="218"/>
      <c r="CT89" s="218"/>
      <c r="CU89" s="218"/>
      <c r="CV89" s="218"/>
      <c r="CW89" s="218"/>
      <c r="CX89" s="218"/>
      <c r="CY89" s="218"/>
      <c r="CZ89" s="218"/>
      <c r="DA89" s="218"/>
      <c r="DB89" s="218"/>
      <c r="DC89" s="218"/>
      <c r="DD89" s="218"/>
      <c r="DE89" s="218"/>
      <c r="DF89" s="218"/>
      <c r="DG89" s="218"/>
      <c r="DH89" s="218"/>
      <c r="DI89" s="218"/>
      <c r="DJ89" s="218"/>
      <c r="DK89" s="218"/>
      <c r="DL89" s="218"/>
      <c r="DM89" s="218"/>
      <c r="DN89" s="219"/>
      <c r="DO89" s="20"/>
      <c r="DP89" s="19"/>
      <c r="DQ89" s="19"/>
      <c r="DR89" s="19"/>
      <c r="DS89" s="12"/>
      <c r="DT89" s="13"/>
    </row>
    <row r="90" spans="1:124" ht="5.0999999999999996" customHeight="1" thickTop="1">
      <c r="A90" s="12"/>
      <c r="B90" s="18"/>
      <c r="C90" s="19"/>
      <c r="D90" s="19"/>
      <c r="E90" s="19"/>
      <c r="F90" s="53"/>
      <c r="G90" s="53"/>
      <c r="H90" s="53"/>
      <c r="I90" s="53"/>
      <c r="J90" s="53"/>
      <c r="K90" s="53"/>
      <c r="L90" s="53"/>
      <c r="M90" s="53"/>
      <c r="N90" s="53"/>
      <c r="O90" s="53"/>
      <c r="P90" s="53"/>
      <c r="Q90" s="53"/>
      <c r="R90" s="53"/>
      <c r="S90" s="53"/>
      <c r="T90" s="53"/>
      <c r="U90" s="53"/>
      <c r="V90" s="53"/>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19"/>
      <c r="BU90" s="55"/>
      <c r="BV90" s="55"/>
      <c r="BW90" s="55"/>
      <c r="BX90" s="55"/>
      <c r="BY90" s="55"/>
      <c r="BZ90" s="55"/>
      <c r="CA90" s="55"/>
      <c r="CB90" s="55"/>
      <c r="CC90" s="55"/>
      <c r="CD90" s="55"/>
      <c r="CE90" s="55"/>
      <c r="CF90" s="55"/>
      <c r="CG90" s="55"/>
      <c r="CH90" s="55"/>
      <c r="CI90" s="55"/>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19"/>
      <c r="DQ90" s="19"/>
      <c r="DR90" s="19"/>
      <c r="DS90" s="12"/>
      <c r="DT90" s="13"/>
    </row>
    <row r="91" spans="1:124" ht="5.0999999999999996" customHeight="1">
      <c r="A91" s="12"/>
      <c r="B91" s="18"/>
      <c r="C91" s="19"/>
      <c r="D91" s="19"/>
      <c r="E91" s="19"/>
      <c r="F91" s="54"/>
      <c r="G91" s="54"/>
      <c r="H91" s="54"/>
      <c r="I91" s="54"/>
      <c r="J91" s="54"/>
      <c r="K91" s="54"/>
      <c r="L91" s="54"/>
      <c r="M91" s="54"/>
      <c r="N91" s="54"/>
      <c r="O91" s="54"/>
      <c r="P91" s="54"/>
      <c r="Q91" s="54"/>
      <c r="R91" s="54"/>
      <c r="S91" s="54"/>
      <c r="T91" s="54"/>
      <c r="U91" s="54"/>
      <c r="V91" s="54"/>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56"/>
      <c r="BV91" s="56"/>
      <c r="BW91" s="56"/>
      <c r="BX91" s="56"/>
      <c r="BY91" s="56"/>
      <c r="BZ91" s="56"/>
      <c r="CA91" s="56"/>
      <c r="CB91" s="56"/>
      <c r="CC91" s="56"/>
      <c r="CD91" s="56"/>
      <c r="CE91" s="56"/>
      <c r="CF91" s="56"/>
      <c r="CG91" s="56"/>
      <c r="CH91" s="56"/>
      <c r="CI91" s="56"/>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2"/>
      <c r="DT91" s="13"/>
    </row>
    <row r="92" spans="1:124" ht="5.0999999999999996" customHeight="1" thickBot="1">
      <c r="A92" s="12"/>
      <c r="B92" s="18"/>
      <c r="C92" s="19"/>
      <c r="D92" s="19"/>
      <c r="E92" s="19"/>
      <c r="F92" s="53"/>
      <c r="G92" s="53"/>
      <c r="H92" s="53"/>
      <c r="I92" s="53"/>
      <c r="J92" s="53"/>
      <c r="K92" s="53"/>
      <c r="L92" s="53"/>
      <c r="M92" s="53"/>
      <c r="N92" s="53"/>
      <c r="O92" s="53"/>
      <c r="P92" s="53"/>
      <c r="Q92" s="53"/>
      <c r="R92" s="53"/>
      <c r="S92" s="53"/>
      <c r="T92" s="53"/>
      <c r="U92" s="53"/>
      <c r="V92" s="53"/>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19"/>
      <c r="BU92" s="55"/>
      <c r="BV92" s="55"/>
      <c r="BW92" s="55"/>
      <c r="BX92" s="55"/>
      <c r="BY92" s="55"/>
      <c r="BZ92" s="55"/>
      <c r="CA92" s="55"/>
      <c r="CB92" s="55"/>
      <c r="CC92" s="55"/>
      <c r="CD92" s="55"/>
      <c r="CE92" s="55"/>
      <c r="CF92" s="55"/>
      <c r="CG92" s="55"/>
      <c r="CH92" s="55"/>
      <c r="CI92" s="55"/>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19"/>
      <c r="DQ92" s="19"/>
      <c r="DR92" s="19"/>
      <c r="DS92" s="12"/>
      <c r="DT92" s="13"/>
    </row>
    <row r="93" spans="1:124" ht="20.100000000000001" customHeight="1" thickTop="1" thickBot="1">
      <c r="A93" s="12"/>
      <c r="B93" s="18"/>
      <c r="C93" s="19"/>
      <c r="D93" s="19"/>
      <c r="E93" s="19"/>
      <c r="F93" s="175" t="s">
        <v>960</v>
      </c>
      <c r="G93" s="175"/>
      <c r="H93" s="175"/>
      <c r="I93" s="175"/>
      <c r="J93" s="175"/>
      <c r="K93" s="175"/>
      <c r="L93" s="175"/>
      <c r="M93" s="175"/>
      <c r="N93" s="175"/>
      <c r="O93" s="175"/>
      <c r="P93" s="175"/>
      <c r="Q93" s="175"/>
      <c r="R93" s="175"/>
      <c r="S93" s="175"/>
      <c r="T93" s="175"/>
      <c r="U93" s="175"/>
      <c r="V93" s="216"/>
      <c r="W93" s="217" t="s">
        <v>1113</v>
      </c>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18"/>
      <c r="BK93" s="218"/>
      <c r="BL93" s="218"/>
      <c r="BM93" s="218"/>
      <c r="BN93" s="218"/>
      <c r="BO93" s="218"/>
      <c r="BP93" s="218"/>
      <c r="BQ93" s="218"/>
      <c r="BR93" s="219"/>
      <c r="BS93" s="20"/>
      <c r="BT93" s="19"/>
      <c r="BU93" s="175" t="s">
        <v>962</v>
      </c>
      <c r="BV93" s="175"/>
      <c r="BW93" s="175"/>
      <c r="BX93" s="175"/>
      <c r="BY93" s="175"/>
      <c r="BZ93" s="175"/>
      <c r="CA93" s="175"/>
      <c r="CB93" s="175"/>
      <c r="CC93" s="175"/>
      <c r="CD93" s="175"/>
      <c r="CE93" s="175"/>
      <c r="CF93" s="175"/>
      <c r="CG93" s="175"/>
      <c r="CH93" s="175"/>
      <c r="CI93" s="216"/>
      <c r="CJ93" s="224">
        <v>6</v>
      </c>
      <c r="CK93" s="225"/>
      <c r="CL93" s="225"/>
      <c r="CM93" s="225"/>
      <c r="CN93" s="225"/>
      <c r="CO93" s="225"/>
      <c r="CP93" s="225"/>
      <c r="CQ93" s="225"/>
      <c r="CR93" s="225"/>
      <c r="CS93" s="225"/>
      <c r="CT93" s="225"/>
      <c r="CU93" s="225"/>
      <c r="CV93" s="225"/>
      <c r="CW93" s="225"/>
      <c r="CX93" s="225"/>
      <c r="CY93" s="225"/>
      <c r="CZ93" s="225"/>
      <c r="DA93" s="225"/>
      <c r="DB93" s="225"/>
      <c r="DC93" s="225"/>
      <c r="DD93" s="225"/>
      <c r="DE93" s="225"/>
      <c r="DF93" s="225"/>
      <c r="DG93" s="225"/>
      <c r="DH93" s="225"/>
      <c r="DI93" s="225"/>
      <c r="DJ93" s="225"/>
      <c r="DK93" s="225"/>
      <c r="DL93" s="225"/>
      <c r="DM93" s="225"/>
      <c r="DN93" s="226"/>
      <c r="DO93" s="20"/>
      <c r="DP93" s="19"/>
      <c r="DQ93" s="19"/>
      <c r="DR93" s="19"/>
      <c r="DS93" s="12"/>
      <c r="DT93" s="13"/>
    </row>
    <row r="94" spans="1:124" ht="5.0999999999999996" customHeight="1" thickTop="1">
      <c r="A94" s="12"/>
      <c r="B94" s="18"/>
      <c r="C94" s="19"/>
      <c r="D94" s="19"/>
      <c r="E94" s="19"/>
      <c r="F94" s="53"/>
      <c r="G94" s="53"/>
      <c r="H94" s="53"/>
      <c r="I94" s="53"/>
      <c r="J94" s="53"/>
      <c r="K94" s="53"/>
      <c r="L94" s="53"/>
      <c r="M94" s="53"/>
      <c r="N94" s="53"/>
      <c r="O94" s="53"/>
      <c r="P94" s="53"/>
      <c r="Q94" s="53"/>
      <c r="R94" s="53"/>
      <c r="S94" s="53"/>
      <c r="T94" s="53"/>
      <c r="U94" s="53"/>
      <c r="V94" s="53"/>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19"/>
      <c r="BU94" s="53"/>
      <c r="BV94" s="53"/>
      <c r="BW94" s="53"/>
      <c r="BX94" s="53"/>
      <c r="BY94" s="53"/>
      <c r="BZ94" s="53"/>
      <c r="CA94" s="53"/>
      <c r="CB94" s="53"/>
      <c r="CC94" s="53"/>
      <c r="CD94" s="53"/>
      <c r="CE94" s="53"/>
      <c r="CF94" s="53"/>
      <c r="CG94" s="53"/>
      <c r="CH94" s="53"/>
      <c r="CI94" s="53"/>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19"/>
      <c r="DQ94" s="19"/>
      <c r="DR94" s="19"/>
      <c r="DS94" s="12"/>
      <c r="DT94" s="13"/>
    </row>
    <row r="95" spans="1:124" ht="5.0999999999999996" customHeight="1">
      <c r="A95" s="12"/>
      <c r="B95" s="18"/>
      <c r="C95" s="19"/>
      <c r="D95" s="19"/>
      <c r="E95" s="19"/>
      <c r="F95" s="54"/>
      <c r="G95" s="54"/>
      <c r="H95" s="54"/>
      <c r="I95" s="54"/>
      <c r="J95" s="54"/>
      <c r="K95" s="54"/>
      <c r="L95" s="54"/>
      <c r="M95" s="54"/>
      <c r="N95" s="54"/>
      <c r="O95" s="54"/>
      <c r="P95" s="54"/>
      <c r="Q95" s="54"/>
      <c r="R95" s="54"/>
      <c r="S95" s="54"/>
      <c r="T95" s="54"/>
      <c r="U95" s="54"/>
      <c r="V95" s="54"/>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54"/>
      <c r="BV95" s="54"/>
      <c r="BW95" s="54"/>
      <c r="BX95" s="54"/>
      <c r="BY95" s="54"/>
      <c r="BZ95" s="54"/>
      <c r="CA95" s="54"/>
      <c r="CB95" s="54"/>
      <c r="CC95" s="54"/>
      <c r="CD95" s="54"/>
      <c r="CE95" s="54"/>
      <c r="CF95" s="54"/>
      <c r="CG95" s="54"/>
      <c r="CH95" s="54"/>
      <c r="CI95" s="54"/>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2"/>
      <c r="DT95" s="13"/>
    </row>
    <row r="96" spans="1:124" ht="5.0999999999999996" customHeight="1" thickBot="1">
      <c r="A96" s="12"/>
      <c r="B96" s="18"/>
      <c r="C96" s="19"/>
      <c r="D96" s="19"/>
      <c r="E96" s="19"/>
      <c r="F96" s="53"/>
      <c r="G96" s="53"/>
      <c r="H96" s="53"/>
      <c r="I96" s="53"/>
      <c r="J96" s="53"/>
      <c r="K96" s="53"/>
      <c r="L96" s="53"/>
      <c r="M96" s="53"/>
      <c r="N96" s="53"/>
      <c r="O96" s="53"/>
      <c r="P96" s="53"/>
      <c r="Q96" s="53"/>
      <c r="R96" s="53"/>
      <c r="S96" s="53"/>
      <c r="T96" s="53"/>
      <c r="U96" s="53"/>
      <c r="V96" s="53"/>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19"/>
      <c r="BU96" s="53"/>
      <c r="BV96" s="53"/>
      <c r="BW96" s="53"/>
      <c r="BX96" s="53"/>
      <c r="BY96" s="53"/>
      <c r="BZ96" s="53"/>
      <c r="CA96" s="53"/>
      <c r="CB96" s="53"/>
      <c r="CC96" s="53"/>
      <c r="CD96" s="53"/>
      <c r="CE96" s="53"/>
      <c r="CF96" s="53"/>
      <c r="CG96" s="53"/>
      <c r="CH96" s="53"/>
      <c r="CI96" s="53"/>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19"/>
      <c r="DQ96" s="19"/>
      <c r="DR96" s="19"/>
      <c r="DS96" s="12"/>
      <c r="DT96" s="13"/>
    </row>
    <row r="97" spans="1:124" ht="20.100000000000001" customHeight="1" thickTop="1" thickBot="1">
      <c r="A97" s="12"/>
      <c r="B97" s="18"/>
      <c r="C97" s="19"/>
      <c r="D97" s="19"/>
      <c r="E97" s="19"/>
      <c r="F97" s="175" t="s">
        <v>963</v>
      </c>
      <c r="G97" s="175"/>
      <c r="H97" s="175"/>
      <c r="I97" s="175"/>
      <c r="J97" s="175"/>
      <c r="K97" s="175"/>
      <c r="L97" s="175"/>
      <c r="M97" s="175"/>
      <c r="N97" s="175"/>
      <c r="O97" s="175"/>
      <c r="P97" s="175"/>
      <c r="Q97" s="175"/>
      <c r="R97" s="175"/>
      <c r="S97" s="175"/>
      <c r="T97" s="175"/>
      <c r="U97" s="175"/>
      <c r="V97" s="216"/>
      <c r="W97" s="217" t="s">
        <v>1114</v>
      </c>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c r="BH97" s="218"/>
      <c r="BI97" s="218"/>
      <c r="BJ97" s="218"/>
      <c r="BK97" s="218"/>
      <c r="BL97" s="218"/>
      <c r="BM97" s="218"/>
      <c r="BN97" s="218"/>
      <c r="BO97" s="218"/>
      <c r="BP97" s="218"/>
      <c r="BQ97" s="218"/>
      <c r="BR97" s="219"/>
      <c r="BS97" s="20"/>
      <c r="BT97" s="19"/>
      <c r="BU97" s="175" t="s">
        <v>965</v>
      </c>
      <c r="BV97" s="175"/>
      <c r="BW97" s="175"/>
      <c r="BX97" s="175"/>
      <c r="BY97" s="175"/>
      <c r="BZ97" s="175"/>
      <c r="CA97" s="175"/>
      <c r="CB97" s="175"/>
      <c r="CC97" s="175"/>
      <c r="CD97" s="175"/>
      <c r="CE97" s="175"/>
      <c r="CF97" s="175"/>
      <c r="CG97" s="175"/>
      <c r="CH97" s="175"/>
      <c r="CI97" s="216"/>
      <c r="CJ97" s="224">
        <v>3</v>
      </c>
      <c r="CK97" s="225"/>
      <c r="CL97" s="225"/>
      <c r="CM97" s="225"/>
      <c r="CN97" s="225"/>
      <c r="CO97" s="225"/>
      <c r="CP97" s="225"/>
      <c r="CQ97" s="225"/>
      <c r="CR97" s="225"/>
      <c r="CS97" s="225"/>
      <c r="CT97" s="225"/>
      <c r="CU97" s="225"/>
      <c r="CV97" s="225"/>
      <c r="CW97" s="225"/>
      <c r="CX97" s="225"/>
      <c r="CY97" s="225"/>
      <c r="CZ97" s="225"/>
      <c r="DA97" s="225"/>
      <c r="DB97" s="225"/>
      <c r="DC97" s="225"/>
      <c r="DD97" s="225"/>
      <c r="DE97" s="225"/>
      <c r="DF97" s="225"/>
      <c r="DG97" s="225"/>
      <c r="DH97" s="225"/>
      <c r="DI97" s="225"/>
      <c r="DJ97" s="225"/>
      <c r="DK97" s="225"/>
      <c r="DL97" s="225"/>
      <c r="DM97" s="225"/>
      <c r="DN97" s="226"/>
      <c r="DO97" s="20"/>
      <c r="DP97" s="19"/>
      <c r="DQ97" s="19"/>
      <c r="DR97" s="19"/>
      <c r="DS97" s="12"/>
      <c r="DT97" s="13"/>
    </row>
    <row r="98" spans="1:124" ht="5.0999999999999996" customHeight="1" thickTop="1">
      <c r="A98" s="12"/>
      <c r="B98" s="18"/>
      <c r="C98" s="19"/>
      <c r="D98" s="19"/>
      <c r="E98" s="19"/>
      <c r="F98" s="22"/>
      <c r="G98" s="22"/>
      <c r="H98" s="22"/>
      <c r="I98" s="22"/>
      <c r="J98" s="22"/>
      <c r="K98" s="22"/>
      <c r="L98" s="22"/>
      <c r="M98" s="22"/>
      <c r="N98" s="22"/>
      <c r="O98" s="22"/>
      <c r="P98" s="22"/>
      <c r="Q98" s="22"/>
      <c r="R98" s="22"/>
      <c r="S98" s="22"/>
      <c r="T98" s="22"/>
      <c r="U98" s="22"/>
      <c r="V98" s="22"/>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19"/>
      <c r="BU98" s="22"/>
      <c r="BV98" s="22"/>
      <c r="BW98" s="22"/>
      <c r="BX98" s="22"/>
      <c r="BY98" s="22"/>
      <c r="BZ98" s="22"/>
      <c r="CA98" s="22"/>
      <c r="CB98" s="22"/>
      <c r="CC98" s="22"/>
      <c r="CD98" s="22"/>
      <c r="CE98" s="22"/>
      <c r="CF98" s="22"/>
      <c r="CG98" s="22"/>
      <c r="CH98" s="22"/>
      <c r="CI98" s="22"/>
      <c r="CJ98" s="20"/>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19"/>
      <c r="DQ98" s="19"/>
      <c r="DR98" s="19"/>
      <c r="DS98" s="12"/>
      <c r="DT98" s="13"/>
    </row>
    <row r="99" spans="1:124" ht="5.0999999999999996" customHeight="1">
      <c r="A99" s="12"/>
      <c r="B99" s="18"/>
      <c r="C99" s="19"/>
      <c r="D99" s="19"/>
      <c r="E99" s="19"/>
      <c r="F99" s="54"/>
      <c r="G99" s="54"/>
      <c r="H99" s="54"/>
      <c r="I99" s="54"/>
      <c r="J99" s="54"/>
      <c r="K99" s="54"/>
      <c r="L99" s="54"/>
      <c r="M99" s="54"/>
      <c r="N99" s="54"/>
      <c r="O99" s="54"/>
      <c r="P99" s="54"/>
      <c r="Q99" s="54"/>
      <c r="R99" s="54"/>
      <c r="S99" s="54"/>
      <c r="T99" s="54"/>
      <c r="U99" s="54"/>
      <c r="V99" s="54"/>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54"/>
      <c r="BV99" s="54"/>
      <c r="BW99" s="54"/>
      <c r="BX99" s="54"/>
      <c r="BY99" s="54"/>
      <c r="BZ99" s="54"/>
      <c r="CA99" s="54"/>
      <c r="CB99" s="54"/>
      <c r="CC99" s="54"/>
      <c r="CD99" s="54"/>
      <c r="CE99" s="54"/>
      <c r="CF99" s="54"/>
      <c r="CG99" s="54"/>
      <c r="CH99" s="54"/>
      <c r="CI99" s="54"/>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2"/>
      <c r="DT99" s="13"/>
    </row>
    <row r="100" spans="1:124" ht="5.0999999999999996" customHeight="1" thickBot="1">
      <c r="A100" s="12"/>
      <c r="B100" s="18"/>
      <c r="C100" s="19"/>
      <c r="D100" s="19"/>
      <c r="E100" s="19"/>
      <c r="F100" s="53"/>
      <c r="G100" s="53"/>
      <c r="H100" s="53"/>
      <c r="I100" s="53"/>
      <c r="J100" s="53"/>
      <c r="K100" s="53"/>
      <c r="L100" s="53"/>
      <c r="M100" s="53"/>
      <c r="N100" s="53"/>
      <c r="O100" s="53"/>
      <c r="P100" s="53"/>
      <c r="Q100" s="53"/>
      <c r="R100" s="53"/>
      <c r="S100" s="53"/>
      <c r="T100" s="53"/>
      <c r="U100" s="53"/>
      <c r="V100" s="53"/>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19"/>
      <c r="BU100" s="53"/>
      <c r="BV100" s="53"/>
      <c r="BW100" s="53"/>
      <c r="BX100" s="53"/>
      <c r="BY100" s="53"/>
      <c r="BZ100" s="53"/>
      <c r="CA100" s="53"/>
      <c r="CB100" s="53"/>
      <c r="CC100" s="53"/>
      <c r="CD100" s="53"/>
      <c r="CE100" s="53"/>
      <c r="CF100" s="53"/>
      <c r="CG100" s="53"/>
      <c r="CH100" s="53"/>
      <c r="CI100" s="53"/>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19"/>
      <c r="DQ100" s="19"/>
      <c r="DR100" s="19"/>
      <c r="DS100" s="12"/>
      <c r="DT100" s="13"/>
    </row>
    <row r="101" spans="1:124" ht="20.100000000000001" customHeight="1" thickTop="1" thickBot="1">
      <c r="A101" s="12"/>
      <c r="B101" s="18"/>
      <c r="C101" s="19"/>
      <c r="D101" s="19"/>
      <c r="E101" s="19"/>
      <c r="F101" s="175" t="s">
        <v>966</v>
      </c>
      <c r="G101" s="175"/>
      <c r="H101" s="175"/>
      <c r="I101" s="175"/>
      <c r="J101" s="175"/>
      <c r="K101" s="175"/>
      <c r="L101" s="175"/>
      <c r="M101" s="175"/>
      <c r="N101" s="175"/>
      <c r="O101" s="175"/>
      <c r="P101" s="175"/>
      <c r="Q101" s="175"/>
      <c r="R101" s="175"/>
      <c r="S101" s="175"/>
      <c r="T101" s="175"/>
      <c r="U101" s="175"/>
      <c r="V101" s="216"/>
      <c r="W101" s="217" t="s">
        <v>1115</v>
      </c>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18"/>
      <c r="BK101" s="218"/>
      <c r="BL101" s="218"/>
      <c r="BM101" s="218"/>
      <c r="BN101" s="218"/>
      <c r="BO101" s="218"/>
      <c r="BP101" s="218"/>
      <c r="BQ101" s="218"/>
      <c r="BR101" s="219"/>
      <c r="BS101" s="20"/>
      <c r="BT101" s="19"/>
      <c r="BU101" s="175" t="s">
        <v>968</v>
      </c>
      <c r="BV101" s="175"/>
      <c r="BW101" s="175"/>
      <c r="BX101" s="175"/>
      <c r="BY101" s="175"/>
      <c r="BZ101" s="175"/>
      <c r="CA101" s="175"/>
      <c r="CB101" s="175"/>
      <c r="CC101" s="175"/>
      <c r="CD101" s="175"/>
      <c r="CE101" s="175"/>
      <c r="CF101" s="175"/>
      <c r="CG101" s="175"/>
      <c r="CH101" s="175"/>
      <c r="CI101" s="216"/>
      <c r="CJ101" s="217" t="s">
        <v>969</v>
      </c>
      <c r="CK101" s="218"/>
      <c r="CL101" s="218"/>
      <c r="CM101" s="218"/>
      <c r="CN101" s="218"/>
      <c r="CO101" s="218"/>
      <c r="CP101" s="218"/>
      <c r="CQ101" s="218"/>
      <c r="CR101" s="218"/>
      <c r="CS101" s="218"/>
      <c r="CT101" s="218"/>
      <c r="CU101" s="218"/>
      <c r="CV101" s="218"/>
      <c r="CW101" s="218"/>
      <c r="CX101" s="218"/>
      <c r="CY101" s="218"/>
      <c r="CZ101" s="218"/>
      <c r="DA101" s="218"/>
      <c r="DB101" s="218"/>
      <c r="DC101" s="218"/>
      <c r="DD101" s="218"/>
      <c r="DE101" s="218"/>
      <c r="DF101" s="218"/>
      <c r="DG101" s="218"/>
      <c r="DH101" s="218"/>
      <c r="DI101" s="218"/>
      <c r="DJ101" s="218"/>
      <c r="DK101" s="218"/>
      <c r="DL101" s="218"/>
      <c r="DM101" s="218"/>
      <c r="DN101" s="219"/>
      <c r="DO101" s="20"/>
      <c r="DP101" s="19"/>
      <c r="DQ101" s="19"/>
      <c r="DR101" s="19"/>
      <c r="DS101" s="12"/>
      <c r="DT101" s="13"/>
    </row>
    <row r="102" spans="1:124" ht="5.0999999999999996" customHeight="1" thickTop="1">
      <c r="A102" s="12"/>
      <c r="B102" s="18"/>
      <c r="C102" s="19"/>
      <c r="D102" s="19"/>
      <c r="E102" s="19"/>
      <c r="F102" s="53"/>
      <c r="G102" s="53"/>
      <c r="H102" s="53"/>
      <c r="I102" s="53"/>
      <c r="J102" s="53"/>
      <c r="K102" s="53"/>
      <c r="L102" s="53"/>
      <c r="M102" s="53"/>
      <c r="N102" s="53"/>
      <c r="O102" s="53"/>
      <c r="P102" s="53"/>
      <c r="Q102" s="53"/>
      <c r="R102" s="53"/>
      <c r="S102" s="53"/>
      <c r="T102" s="53"/>
      <c r="U102" s="53"/>
      <c r="V102" s="53"/>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19"/>
      <c r="BU102" s="53"/>
      <c r="BV102" s="53"/>
      <c r="BW102" s="53"/>
      <c r="BX102" s="53"/>
      <c r="BY102" s="53"/>
      <c r="BZ102" s="53"/>
      <c r="CA102" s="53"/>
      <c r="CB102" s="53"/>
      <c r="CC102" s="53"/>
      <c r="CD102" s="53"/>
      <c r="CE102" s="53"/>
      <c r="CF102" s="53"/>
      <c r="CG102" s="53"/>
      <c r="CH102" s="53"/>
      <c r="CI102" s="53"/>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19"/>
      <c r="DQ102" s="19"/>
      <c r="DR102" s="19"/>
      <c r="DS102" s="12"/>
      <c r="DT102" s="13"/>
    </row>
    <row r="103" spans="1:124" ht="5.0999999999999996" customHeight="1">
      <c r="A103" s="12"/>
      <c r="B103" s="18"/>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2"/>
      <c r="DT103" s="13"/>
    </row>
    <row r="104" spans="1:124" s="115" customFormat="1" ht="20.100000000000001" customHeight="1">
      <c r="A104" s="90"/>
      <c r="B104" s="91"/>
      <c r="C104" s="92"/>
      <c r="D104" s="92"/>
      <c r="E104" s="92"/>
      <c r="F104" s="208" t="s">
        <v>970</v>
      </c>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c r="AF104" s="208"/>
      <c r="AG104" s="208"/>
      <c r="AH104" s="208"/>
      <c r="AI104" s="208"/>
      <c r="AJ104" s="208"/>
      <c r="AK104" s="208"/>
      <c r="AL104" s="208"/>
      <c r="AM104" s="208"/>
      <c r="AN104" s="208"/>
      <c r="AO104" s="208"/>
      <c r="AP104" s="208"/>
      <c r="AQ104" s="208"/>
      <c r="AR104" s="208"/>
      <c r="AS104" s="208"/>
      <c r="AT104" s="208"/>
      <c r="AU104" s="208"/>
      <c r="AV104" s="208"/>
      <c r="AW104" s="208"/>
      <c r="AX104" s="208"/>
      <c r="AY104" s="208"/>
      <c r="AZ104" s="208"/>
      <c r="BA104" s="208"/>
      <c r="BB104" s="208"/>
      <c r="BC104" s="208"/>
      <c r="BD104" s="208"/>
      <c r="BE104" s="208"/>
      <c r="BF104" s="208"/>
      <c r="BG104" s="208"/>
      <c r="BH104" s="208"/>
      <c r="BI104" s="208"/>
      <c r="BJ104" s="208"/>
      <c r="BK104" s="208"/>
      <c r="BL104" s="208"/>
      <c r="BM104" s="208"/>
      <c r="BN104" s="208"/>
      <c r="BO104" s="208"/>
      <c r="BP104" s="208"/>
      <c r="BQ104" s="208"/>
      <c r="BR104" s="208"/>
      <c r="BS104" s="208"/>
      <c r="BT104" s="208"/>
      <c r="BU104" s="208"/>
      <c r="BV104" s="208"/>
      <c r="BW104" s="208"/>
      <c r="BX104" s="208"/>
      <c r="BY104" s="208"/>
      <c r="BZ104" s="208"/>
      <c r="CA104" s="208"/>
      <c r="CB104" s="208"/>
      <c r="CC104" s="208"/>
      <c r="CD104" s="208"/>
      <c r="CE104" s="208"/>
      <c r="CF104" s="208"/>
      <c r="CG104" s="208"/>
      <c r="CH104" s="208"/>
      <c r="CI104" s="208"/>
      <c r="CJ104" s="208"/>
      <c r="CK104" s="208"/>
      <c r="CL104" s="208"/>
      <c r="CM104" s="208"/>
      <c r="CN104" s="208"/>
      <c r="CO104" s="208"/>
      <c r="CP104" s="208"/>
      <c r="CQ104" s="208"/>
      <c r="CR104" s="208"/>
      <c r="CS104" s="208"/>
      <c r="CT104" s="208"/>
      <c r="CU104" s="208"/>
      <c r="CV104" s="208"/>
      <c r="CW104" s="208"/>
      <c r="CX104" s="208"/>
      <c r="CY104" s="208"/>
      <c r="CZ104" s="208"/>
      <c r="DA104" s="208"/>
      <c r="DB104" s="208"/>
      <c r="DC104" s="208"/>
      <c r="DD104" s="208"/>
      <c r="DE104" s="208"/>
      <c r="DF104" s="208"/>
      <c r="DG104" s="208"/>
      <c r="DH104" s="208"/>
      <c r="DI104" s="208"/>
      <c r="DJ104" s="208"/>
      <c r="DK104" s="208"/>
      <c r="DL104" s="208"/>
      <c r="DM104" s="208"/>
      <c r="DN104" s="208"/>
      <c r="DO104" s="208"/>
      <c r="DP104" s="92"/>
      <c r="DQ104" s="92"/>
      <c r="DR104" s="92"/>
      <c r="DS104" s="90"/>
      <c r="DT104" s="93"/>
    </row>
    <row r="105" spans="1:124" ht="5.0999999999999996" customHeight="1">
      <c r="A105" s="12"/>
      <c r="B105" s="18"/>
      <c r="C105" s="19"/>
      <c r="D105" s="19"/>
      <c r="E105" s="19"/>
      <c r="F105" s="43"/>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5"/>
      <c r="DP105" s="19"/>
      <c r="DQ105" s="19"/>
      <c r="DR105" s="19"/>
      <c r="DS105" s="12"/>
      <c r="DT105" s="13"/>
    </row>
    <row r="106" spans="1:124" ht="69.95" customHeight="1">
      <c r="A106" s="12"/>
      <c r="B106" s="18"/>
      <c r="C106" s="19"/>
      <c r="D106" s="19"/>
      <c r="E106" s="19"/>
      <c r="F106" s="46"/>
      <c r="G106" s="209" t="s">
        <v>1116</v>
      </c>
      <c r="H106" s="209"/>
      <c r="I106" s="209"/>
      <c r="J106" s="209"/>
      <c r="K106" s="209"/>
      <c r="L106" s="209"/>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c r="AQ106" s="209"/>
      <c r="AR106" s="209"/>
      <c r="AS106" s="209"/>
      <c r="AT106" s="209"/>
      <c r="AU106" s="209"/>
      <c r="AV106" s="209"/>
      <c r="AW106" s="209"/>
      <c r="AX106" s="209"/>
      <c r="AY106" s="209"/>
      <c r="AZ106" s="209"/>
      <c r="BA106" s="209"/>
      <c r="BB106" s="209"/>
      <c r="BC106" s="209"/>
      <c r="BD106" s="209"/>
      <c r="BE106" s="209"/>
      <c r="BF106" s="209"/>
      <c r="BG106" s="209"/>
      <c r="BH106" s="209"/>
      <c r="BI106" s="209"/>
      <c r="BJ106" s="209"/>
      <c r="BK106" s="209"/>
      <c r="BL106" s="209"/>
      <c r="BM106" s="209"/>
      <c r="BN106" s="209"/>
      <c r="BO106" s="209"/>
      <c r="BP106" s="209"/>
      <c r="BQ106" s="209"/>
      <c r="BR106" s="209"/>
      <c r="BS106" s="209"/>
      <c r="BT106" s="209"/>
      <c r="BU106" s="209"/>
      <c r="BV106" s="209"/>
      <c r="BW106" s="209"/>
      <c r="BX106" s="209"/>
      <c r="BY106" s="209"/>
      <c r="BZ106" s="209"/>
      <c r="CA106" s="209"/>
      <c r="CB106" s="209"/>
      <c r="CC106" s="209"/>
      <c r="CD106" s="209"/>
      <c r="CE106" s="209"/>
      <c r="CF106" s="209"/>
      <c r="CG106" s="209"/>
      <c r="CH106" s="209"/>
      <c r="CI106" s="209"/>
      <c r="CJ106" s="209"/>
      <c r="CK106" s="209"/>
      <c r="CL106" s="209"/>
      <c r="CM106" s="209"/>
      <c r="CN106" s="209"/>
      <c r="CO106" s="209"/>
      <c r="CP106" s="209"/>
      <c r="CQ106" s="209"/>
      <c r="CR106" s="209"/>
      <c r="CS106" s="209"/>
      <c r="CT106" s="209"/>
      <c r="CU106" s="209"/>
      <c r="CV106" s="209"/>
      <c r="CW106" s="209"/>
      <c r="CX106" s="209"/>
      <c r="CY106" s="209"/>
      <c r="CZ106" s="209"/>
      <c r="DA106" s="209"/>
      <c r="DB106" s="209"/>
      <c r="DC106" s="209"/>
      <c r="DD106" s="209"/>
      <c r="DE106" s="209"/>
      <c r="DF106" s="209"/>
      <c r="DG106" s="209"/>
      <c r="DH106" s="209"/>
      <c r="DI106" s="209"/>
      <c r="DJ106" s="209"/>
      <c r="DK106" s="209"/>
      <c r="DL106" s="209"/>
      <c r="DM106" s="209"/>
      <c r="DN106" s="209"/>
      <c r="DO106" s="47"/>
      <c r="DP106" s="19"/>
      <c r="DQ106" s="19"/>
      <c r="DR106" s="19"/>
      <c r="DS106" s="12"/>
      <c r="DT106" s="13"/>
    </row>
    <row r="107" spans="1:124" ht="5.0999999999999996" customHeight="1">
      <c r="A107" s="12"/>
      <c r="B107" s="18"/>
      <c r="C107" s="19"/>
      <c r="D107" s="19"/>
      <c r="E107" s="19"/>
      <c r="F107" s="48"/>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50"/>
      <c r="DP107" s="19"/>
      <c r="DQ107" s="19"/>
      <c r="DR107" s="19"/>
      <c r="DS107" s="12"/>
      <c r="DT107" s="13"/>
    </row>
    <row r="108" spans="1:124" ht="5.0999999999999996" customHeight="1">
      <c r="A108" s="12"/>
      <c r="B108" s="18"/>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2"/>
      <c r="DT108" s="13"/>
    </row>
    <row r="109" spans="1:124" s="115" customFormat="1" ht="20.100000000000001" customHeight="1">
      <c r="A109" s="90"/>
      <c r="B109" s="91"/>
      <c r="C109" s="92"/>
      <c r="D109" s="92"/>
      <c r="E109" s="92"/>
      <c r="F109" s="208" t="s">
        <v>972</v>
      </c>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c r="AF109" s="208"/>
      <c r="AG109" s="208"/>
      <c r="AH109" s="208"/>
      <c r="AI109" s="208"/>
      <c r="AJ109" s="208"/>
      <c r="AK109" s="208"/>
      <c r="AL109" s="208"/>
      <c r="AM109" s="208"/>
      <c r="AN109" s="208"/>
      <c r="AO109" s="208"/>
      <c r="AP109" s="208"/>
      <c r="AQ109" s="208"/>
      <c r="AR109" s="208"/>
      <c r="AS109" s="208"/>
      <c r="AT109" s="208"/>
      <c r="AU109" s="208"/>
      <c r="AV109" s="208"/>
      <c r="AW109" s="208"/>
      <c r="AX109" s="208"/>
      <c r="AY109" s="208"/>
      <c r="AZ109" s="208"/>
      <c r="BA109" s="208"/>
      <c r="BB109" s="208"/>
      <c r="BC109" s="208"/>
      <c r="BD109" s="208"/>
      <c r="BE109" s="208"/>
      <c r="BF109" s="208"/>
      <c r="BG109" s="208"/>
      <c r="BH109" s="208"/>
      <c r="BI109" s="208"/>
      <c r="BJ109" s="208"/>
      <c r="BK109" s="208"/>
      <c r="BL109" s="208"/>
      <c r="BM109" s="208"/>
      <c r="BN109" s="208"/>
      <c r="BO109" s="208"/>
      <c r="BP109" s="208"/>
      <c r="BQ109" s="208"/>
      <c r="BR109" s="208"/>
      <c r="BS109" s="208"/>
      <c r="BT109" s="208"/>
      <c r="BU109" s="208"/>
      <c r="BV109" s="208"/>
      <c r="BW109" s="208"/>
      <c r="BX109" s="208"/>
      <c r="BY109" s="208"/>
      <c r="BZ109" s="208"/>
      <c r="CA109" s="208"/>
      <c r="CB109" s="208"/>
      <c r="CC109" s="208"/>
      <c r="CD109" s="208"/>
      <c r="CE109" s="208"/>
      <c r="CF109" s="208"/>
      <c r="CG109" s="208"/>
      <c r="CH109" s="208"/>
      <c r="CI109" s="208"/>
      <c r="CJ109" s="208"/>
      <c r="CK109" s="208"/>
      <c r="CL109" s="208"/>
      <c r="CM109" s="208"/>
      <c r="CN109" s="208"/>
      <c r="CO109" s="208"/>
      <c r="CP109" s="208"/>
      <c r="CQ109" s="208"/>
      <c r="CR109" s="208"/>
      <c r="CS109" s="208"/>
      <c r="CT109" s="208"/>
      <c r="CU109" s="208"/>
      <c r="CV109" s="208"/>
      <c r="CW109" s="208"/>
      <c r="CX109" s="208"/>
      <c r="CY109" s="208"/>
      <c r="CZ109" s="208"/>
      <c r="DA109" s="208"/>
      <c r="DB109" s="208"/>
      <c r="DC109" s="208"/>
      <c r="DD109" s="208"/>
      <c r="DE109" s="208"/>
      <c r="DF109" s="208"/>
      <c r="DG109" s="208"/>
      <c r="DH109" s="208"/>
      <c r="DI109" s="208"/>
      <c r="DJ109" s="208"/>
      <c r="DK109" s="208"/>
      <c r="DL109" s="208"/>
      <c r="DM109" s="208"/>
      <c r="DN109" s="208"/>
      <c r="DO109" s="208"/>
      <c r="DP109" s="92"/>
      <c r="DQ109" s="92"/>
      <c r="DR109" s="92"/>
      <c r="DS109" s="90"/>
      <c r="DT109" s="93"/>
    </row>
    <row r="110" spans="1:124" ht="5.0999999999999996" customHeight="1">
      <c r="A110" s="12"/>
      <c r="B110" s="18"/>
      <c r="C110" s="19"/>
      <c r="D110" s="19"/>
      <c r="E110" s="19"/>
      <c r="F110" s="43"/>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5"/>
      <c r="DP110" s="19"/>
      <c r="DQ110" s="19"/>
      <c r="DR110" s="19"/>
      <c r="DS110" s="12"/>
      <c r="DT110" s="13"/>
    </row>
    <row r="111" spans="1:124" ht="50.1" customHeight="1">
      <c r="A111" s="12"/>
      <c r="B111" s="18"/>
      <c r="C111" s="19"/>
      <c r="D111" s="19"/>
      <c r="E111" s="19"/>
      <c r="F111" s="46"/>
      <c r="G111" s="209" t="s">
        <v>1117</v>
      </c>
      <c r="H111" s="209"/>
      <c r="I111" s="209"/>
      <c r="J111" s="209"/>
      <c r="K111" s="209"/>
      <c r="L111" s="209"/>
      <c r="M111" s="209"/>
      <c r="N111" s="209"/>
      <c r="O111" s="209"/>
      <c r="P111" s="209"/>
      <c r="Q111" s="209"/>
      <c r="R111" s="209"/>
      <c r="S111" s="209"/>
      <c r="T111" s="209"/>
      <c r="U111" s="209"/>
      <c r="V111" s="209"/>
      <c r="W111" s="209"/>
      <c r="X111" s="209"/>
      <c r="Y111" s="209"/>
      <c r="Z111" s="209"/>
      <c r="AA111" s="209"/>
      <c r="AB111" s="209"/>
      <c r="AC111" s="209"/>
      <c r="AD111" s="209"/>
      <c r="AE111" s="209"/>
      <c r="AF111" s="209"/>
      <c r="AG111" s="209"/>
      <c r="AH111" s="209"/>
      <c r="AI111" s="209"/>
      <c r="AJ111" s="209"/>
      <c r="AK111" s="209"/>
      <c r="AL111" s="209"/>
      <c r="AM111" s="209"/>
      <c r="AN111" s="209"/>
      <c r="AO111" s="209"/>
      <c r="AP111" s="209"/>
      <c r="AQ111" s="209"/>
      <c r="AR111" s="209"/>
      <c r="AS111" s="209"/>
      <c r="AT111" s="209"/>
      <c r="AU111" s="209"/>
      <c r="AV111" s="209"/>
      <c r="AW111" s="209"/>
      <c r="AX111" s="209"/>
      <c r="AY111" s="209"/>
      <c r="AZ111" s="209"/>
      <c r="BA111" s="209"/>
      <c r="BB111" s="209"/>
      <c r="BC111" s="209"/>
      <c r="BD111" s="209"/>
      <c r="BE111" s="209"/>
      <c r="BF111" s="209"/>
      <c r="BG111" s="209"/>
      <c r="BH111" s="209"/>
      <c r="BI111" s="209"/>
      <c r="BJ111" s="209"/>
      <c r="BK111" s="209"/>
      <c r="BL111" s="209"/>
      <c r="BM111" s="209"/>
      <c r="BN111" s="209"/>
      <c r="BO111" s="209"/>
      <c r="BP111" s="209"/>
      <c r="BQ111" s="209"/>
      <c r="BR111" s="209"/>
      <c r="BS111" s="209"/>
      <c r="BT111" s="209"/>
      <c r="BU111" s="209"/>
      <c r="BV111" s="209"/>
      <c r="BW111" s="209"/>
      <c r="BX111" s="209"/>
      <c r="BY111" s="209"/>
      <c r="BZ111" s="209"/>
      <c r="CA111" s="209"/>
      <c r="CB111" s="209"/>
      <c r="CC111" s="209"/>
      <c r="CD111" s="209"/>
      <c r="CE111" s="209"/>
      <c r="CF111" s="209"/>
      <c r="CG111" s="209"/>
      <c r="CH111" s="209"/>
      <c r="CI111" s="209"/>
      <c r="CJ111" s="209"/>
      <c r="CK111" s="209"/>
      <c r="CL111" s="209"/>
      <c r="CM111" s="209"/>
      <c r="CN111" s="209"/>
      <c r="CO111" s="209"/>
      <c r="CP111" s="209"/>
      <c r="CQ111" s="209"/>
      <c r="CR111" s="209"/>
      <c r="CS111" s="209"/>
      <c r="CT111" s="209"/>
      <c r="CU111" s="209"/>
      <c r="CV111" s="209"/>
      <c r="CW111" s="209"/>
      <c r="CX111" s="209"/>
      <c r="CY111" s="209"/>
      <c r="CZ111" s="209"/>
      <c r="DA111" s="209"/>
      <c r="DB111" s="209"/>
      <c r="DC111" s="209"/>
      <c r="DD111" s="209"/>
      <c r="DE111" s="209"/>
      <c r="DF111" s="209"/>
      <c r="DG111" s="209"/>
      <c r="DH111" s="209"/>
      <c r="DI111" s="209"/>
      <c r="DJ111" s="209"/>
      <c r="DK111" s="209"/>
      <c r="DL111" s="209"/>
      <c r="DM111" s="209"/>
      <c r="DN111" s="209"/>
      <c r="DO111" s="47"/>
      <c r="DP111" s="19"/>
      <c r="DQ111" s="19"/>
      <c r="DR111" s="19"/>
      <c r="DS111" s="12"/>
      <c r="DT111" s="13"/>
    </row>
    <row r="112" spans="1:124" ht="5.0999999999999996" customHeight="1">
      <c r="A112" s="12"/>
      <c r="B112" s="18"/>
      <c r="C112" s="19"/>
      <c r="D112" s="19"/>
      <c r="E112" s="19"/>
      <c r="F112" s="48"/>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50"/>
      <c r="DP112" s="19"/>
      <c r="DQ112" s="19"/>
      <c r="DR112" s="19"/>
      <c r="DS112" s="12"/>
      <c r="DT112" s="13"/>
    </row>
    <row r="113" spans="1:124" ht="15" customHeight="1">
      <c r="A113" s="12"/>
      <c r="B113" s="18"/>
      <c r="C113" s="19"/>
      <c r="D113" s="19"/>
      <c r="E113" s="19"/>
      <c r="F113" s="169" t="s">
        <v>974</v>
      </c>
      <c r="G113" s="169"/>
      <c r="H113" s="169"/>
      <c r="I113" s="169"/>
      <c r="J113" s="169"/>
      <c r="K113" s="169"/>
      <c r="L113" s="169"/>
      <c r="M113" s="169"/>
      <c r="N113" s="169"/>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c r="BL113" s="169"/>
      <c r="BM113" s="169"/>
      <c r="BN113" s="169"/>
      <c r="BO113" s="169"/>
      <c r="BP113" s="169"/>
      <c r="BQ113" s="169"/>
      <c r="BR113" s="169"/>
      <c r="BS113" s="169"/>
      <c r="BT113" s="169"/>
      <c r="BU113" s="169"/>
      <c r="BV113" s="169"/>
      <c r="BW113" s="169"/>
      <c r="BX113" s="169"/>
      <c r="BY113" s="169"/>
      <c r="BZ113" s="169"/>
      <c r="CA113" s="169"/>
      <c r="CB113" s="169"/>
      <c r="CC113" s="169"/>
      <c r="CD113" s="169"/>
      <c r="CE113" s="169"/>
      <c r="CF113" s="169"/>
      <c r="CG113" s="169"/>
      <c r="CH113" s="169"/>
      <c r="CI113" s="169"/>
      <c r="CJ113" s="169"/>
      <c r="CK113" s="169"/>
      <c r="CL113" s="169"/>
      <c r="CM113" s="169"/>
      <c r="CN113" s="169"/>
      <c r="CO113" s="169"/>
      <c r="CP113" s="169"/>
      <c r="CQ113" s="169"/>
      <c r="CR113" s="169"/>
      <c r="CS113" s="169"/>
      <c r="CT113" s="169"/>
      <c r="CU113" s="169"/>
      <c r="CV113" s="169"/>
      <c r="CW113" s="169"/>
      <c r="CX113" s="169"/>
      <c r="CY113" s="169"/>
      <c r="CZ113" s="169"/>
      <c r="DA113" s="169"/>
      <c r="DB113" s="169"/>
      <c r="DC113" s="169"/>
      <c r="DD113" s="169"/>
      <c r="DE113" s="169"/>
      <c r="DF113" s="169"/>
      <c r="DG113" s="169"/>
      <c r="DH113" s="169"/>
      <c r="DI113" s="169"/>
      <c r="DJ113" s="169"/>
      <c r="DK113" s="169"/>
      <c r="DL113" s="169"/>
      <c r="DM113" s="169"/>
      <c r="DN113" s="169"/>
      <c r="DO113" s="169"/>
      <c r="DP113" s="19"/>
      <c r="DQ113" s="19"/>
      <c r="DR113" s="19"/>
      <c r="DS113" s="12"/>
      <c r="DT113" s="13"/>
    </row>
    <row r="114" spans="1:124" ht="5.0999999999999996" customHeight="1">
      <c r="DS114" s="12"/>
    </row>
    <row r="115" spans="1:124" ht="5.0999999999999996" customHeight="1">
      <c r="B115" s="12"/>
      <c r="DS115" s="12"/>
    </row>
    <row r="116" spans="1:124" s="5" customFormat="1" ht="15" customHeight="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2"/>
      <c r="CY116" s="12"/>
      <c r="CZ116" s="12"/>
      <c r="DA116" s="12"/>
      <c r="DB116" s="12"/>
      <c r="DC116" s="12"/>
      <c r="DD116" s="12"/>
      <c r="DE116" s="12"/>
      <c r="DF116" s="12"/>
      <c r="DG116" s="12"/>
      <c r="DH116" s="12"/>
      <c r="DI116" s="12"/>
      <c r="DJ116" s="12"/>
      <c r="DK116" s="12"/>
      <c r="DL116" s="12"/>
      <c r="DM116" s="12"/>
      <c r="DN116" s="12"/>
      <c r="DO116" s="12"/>
      <c r="DP116" s="12"/>
      <c r="DQ116" s="12"/>
      <c r="DR116" s="12"/>
      <c r="DS116" s="12"/>
    </row>
    <row r="117" spans="1:124" s="5" customFormat="1" ht="42" customHeight="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2"/>
      <c r="CY117" s="12"/>
      <c r="CZ117" s="12"/>
      <c r="DA117" s="12"/>
      <c r="DB117" s="12"/>
      <c r="DC117" s="12"/>
      <c r="DD117" s="12"/>
      <c r="DE117" s="12"/>
      <c r="DF117" s="12"/>
      <c r="DG117" s="12"/>
      <c r="DH117" s="12"/>
      <c r="DI117" s="12"/>
      <c r="DJ117" s="12"/>
      <c r="DK117" s="12"/>
      <c r="DL117" s="12"/>
      <c r="DM117" s="12"/>
      <c r="DN117" s="12"/>
      <c r="DO117" s="12"/>
      <c r="DP117" s="12"/>
      <c r="DQ117" s="12"/>
      <c r="DR117" s="12"/>
      <c r="DS117" s="12"/>
      <c r="DT117" s="12"/>
    </row>
    <row r="118" spans="1:124" ht="5.0999999999999996" customHeight="1">
      <c r="A118" s="12"/>
      <c r="B118" s="18"/>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2"/>
      <c r="DT118" s="13"/>
    </row>
    <row r="119" spans="1:124" s="17" customFormat="1" ht="171" customHeight="1">
      <c r="A119" s="14"/>
      <c r="B119" s="11"/>
      <c r="C119" s="19"/>
      <c r="D119" s="19"/>
      <c r="E119" s="19"/>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c r="DM119" s="15"/>
      <c r="DN119" s="15"/>
      <c r="DO119" s="24"/>
      <c r="DP119" s="15"/>
      <c r="DQ119" s="15"/>
      <c r="DR119" s="15"/>
      <c r="DS119" s="12"/>
      <c r="DT119" s="16"/>
    </row>
    <row r="120" spans="1:124" ht="20.100000000000001" customHeight="1">
      <c r="A120" s="12"/>
      <c r="B120" s="18"/>
      <c r="C120" s="19"/>
      <c r="D120" s="19"/>
      <c r="E120" s="19"/>
      <c r="F120" s="208" t="s">
        <v>975</v>
      </c>
      <c r="G120" s="208"/>
      <c r="H120" s="208"/>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c r="AF120" s="208"/>
      <c r="AG120" s="208"/>
      <c r="AH120" s="208"/>
      <c r="AI120" s="208"/>
      <c r="AJ120" s="208"/>
      <c r="AK120" s="208"/>
      <c r="AL120" s="208"/>
      <c r="AM120" s="208"/>
      <c r="AN120" s="208"/>
      <c r="AO120" s="208"/>
      <c r="AP120" s="208"/>
      <c r="AQ120" s="208"/>
      <c r="AR120" s="208"/>
      <c r="AS120" s="208"/>
      <c r="AT120" s="208"/>
      <c r="AU120" s="208"/>
      <c r="AV120" s="208"/>
      <c r="AW120" s="208"/>
      <c r="AX120" s="208"/>
      <c r="AY120" s="208"/>
      <c r="AZ120" s="208"/>
      <c r="BA120" s="208"/>
      <c r="BB120" s="208"/>
      <c r="BC120" s="208"/>
      <c r="BD120" s="208"/>
      <c r="BE120" s="208"/>
      <c r="BF120" s="208"/>
      <c r="BG120" s="208"/>
      <c r="BH120" s="208"/>
      <c r="BI120" s="208"/>
      <c r="BJ120" s="208"/>
      <c r="BK120" s="208"/>
      <c r="BL120" s="208"/>
      <c r="BM120" s="208"/>
      <c r="BN120" s="208"/>
      <c r="BO120" s="208"/>
      <c r="BP120" s="208"/>
      <c r="BQ120" s="208"/>
      <c r="BR120" s="208"/>
      <c r="BS120" s="208"/>
      <c r="BT120" s="208"/>
      <c r="BU120" s="208"/>
      <c r="BV120" s="208"/>
      <c r="BW120" s="208"/>
      <c r="BX120" s="208"/>
      <c r="BY120" s="208"/>
      <c r="BZ120" s="208"/>
      <c r="CA120" s="208"/>
      <c r="CB120" s="208"/>
      <c r="CC120" s="208"/>
      <c r="CD120" s="208"/>
      <c r="CE120" s="208"/>
      <c r="CF120" s="208"/>
      <c r="CG120" s="208"/>
      <c r="CH120" s="208"/>
      <c r="CI120" s="208"/>
      <c r="CJ120" s="208"/>
      <c r="CK120" s="208"/>
      <c r="CL120" s="208"/>
      <c r="CM120" s="208"/>
      <c r="CN120" s="208"/>
      <c r="CO120" s="208"/>
      <c r="CP120" s="208"/>
      <c r="CQ120" s="208"/>
      <c r="CR120" s="208"/>
      <c r="CS120" s="208"/>
      <c r="CT120" s="208"/>
      <c r="CU120" s="208"/>
      <c r="CV120" s="208"/>
      <c r="CW120" s="208"/>
      <c r="CX120" s="208"/>
      <c r="CY120" s="208"/>
      <c r="CZ120" s="208"/>
      <c r="DA120" s="208"/>
      <c r="DB120" s="208"/>
      <c r="DC120" s="208"/>
      <c r="DD120" s="208"/>
      <c r="DE120" s="208"/>
      <c r="DF120" s="208"/>
      <c r="DG120" s="208"/>
      <c r="DH120" s="208"/>
      <c r="DI120" s="208"/>
      <c r="DJ120" s="208"/>
      <c r="DK120" s="208"/>
      <c r="DL120" s="208"/>
      <c r="DM120" s="208"/>
      <c r="DN120" s="208"/>
      <c r="DO120" s="208"/>
      <c r="DP120" s="19"/>
      <c r="DQ120" s="19"/>
      <c r="DR120" s="19"/>
      <c r="DS120" s="12"/>
      <c r="DT120" s="13"/>
    </row>
    <row r="121" spans="1:124" ht="5.0999999999999996" customHeight="1">
      <c r="A121" s="12"/>
      <c r="B121" s="18"/>
      <c r="C121" s="19"/>
      <c r="D121" s="19"/>
      <c r="E121" s="19"/>
      <c r="F121" s="43"/>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5"/>
      <c r="DP121" s="19"/>
      <c r="DQ121" s="19"/>
      <c r="DR121" s="19"/>
      <c r="DS121" s="12"/>
      <c r="DT121" s="13"/>
    </row>
    <row r="122" spans="1:124" ht="158.1" customHeight="1">
      <c r="A122" s="12"/>
      <c r="B122" s="18"/>
      <c r="C122" s="19"/>
      <c r="D122" s="19"/>
      <c r="E122" s="19"/>
      <c r="F122" s="46"/>
      <c r="G122" s="227" t="s">
        <v>1118</v>
      </c>
      <c r="H122" s="227"/>
      <c r="I122" s="227"/>
      <c r="J122" s="227"/>
      <c r="K122" s="227"/>
      <c r="L122" s="227"/>
      <c r="M122" s="227"/>
      <c r="N122" s="227"/>
      <c r="O122" s="227"/>
      <c r="P122" s="227"/>
      <c r="Q122" s="227"/>
      <c r="R122" s="227"/>
      <c r="S122" s="227"/>
      <c r="T122" s="227"/>
      <c r="U122" s="227"/>
      <c r="V122" s="227"/>
      <c r="W122" s="227"/>
      <c r="X122" s="227"/>
      <c r="Y122" s="227"/>
      <c r="Z122" s="227"/>
      <c r="AA122" s="227"/>
      <c r="AB122" s="227"/>
      <c r="AC122" s="227"/>
      <c r="AD122" s="227"/>
      <c r="AE122" s="227"/>
      <c r="AF122" s="227"/>
      <c r="AG122" s="227"/>
      <c r="AH122" s="227"/>
      <c r="AI122" s="227"/>
      <c r="AJ122" s="227"/>
      <c r="AK122" s="227"/>
      <c r="AL122" s="227"/>
      <c r="AM122" s="227"/>
      <c r="AN122" s="227"/>
      <c r="AO122" s="227"/>
      <c r="AP122" s="227"/>
      <c r="AQ122" s="227"/>
      <c r="AR122" s="227"/>
      <c r="AS122" s="227"/>
      <c r="AT122" s="227"/>
      <c r="AU122" s="227"/>
      <c r="AV122" s="227"/>
      <c r="AW122" s="227"/>
      <c r="AX122" s="227"/>
      <c r="AY122" s="227"/>
      <c r="AZ122" s="227"/>
      <c r="BA122" s="227"/>
      <c r="BB122" s="227"/>
      <c r="BC122" s="227"/>
      <c r="BD122" s="227"/>
      <c r="BE122" s="227"/>
      <c r="BF122" s="227"/>
      <c r="BG122" s="227"/>
      <c r="BH122" s="227"/>
      <c r="BI122" s="227"/>
      <c r="BJ122" s="227"/>
      <c r="BK122" s="227"/>
      <c r="BL122" s="227"/>
      <c r="BM122" s="227"/>
      <c r="BN122" s="227"/>
      <c r="BO122" s="227"/>
      <c r="BP122" s="227"/>
      <c r="BQ122" s="227"/>
      <c r="BR122" s="227"/>
      <c r="BS122" s="227"/>
      <c r="BT122" s="227"/>
      <c r="BU122" s="227"/>
      <c r="BV122" s="227"/>
      <c r="BW122" s="227"/>
      <c r="BX122" s="227"/>
      <c r="BY122" s="227"/>
      <c r="BZ122" s="227"/>
      <c r="CA122" s="227"/>
      <c r="CB122" s="227"/>
      <c r="CC122" s="227"/>
      <c r="CD122" s="227"/>
      <c r="CE122" s="227"/>
      <c r="CF122" s="227"/>
      <c r="CG122" s="227"/>
      <c r="CH122" s="227"/>
      <c r="CI122" s="227"/>
      <c r="CJ122" s="227"/>
      <c r="CK122" s="227"/>
      <c r="CL122" s="227"/>
      <c r="CM122" s="227"/>
      <c r="CN122" s="227"/>
      <c r="CO122" s="227"/>
      <c r="CP122" s="227"/>
      <c r="CQ122" s="227"/>
      <c r="CR122" s="227"/>
      <c r="CS122" s="227"/>
      <c r="CT122" s="227"/>
      <c r="CU122" s="227"/>
      <c r="CV122" s="227"/>
      <c r="CW122" s="227"/>
      <c r="CX122" s="227"/>
      <c r="CY122" s="227"/>
      <c r="CZ122" s="227"/>
      <c r="DA122" s="227"/>
      <c r="DB122" s="227"/>
      <c r="DC122" s="227"/>
      <c r="DD122" s="227"/>
      <c r="DE122" s="227"/>
      <c r="DF122" s="227"/>
      <c r="DG122" s="227"/>
      <c r="DH122" s="227"/>
      <c r="DI122" s="227"/>
      <c r="DJ122" s="227"/>
      <c r="DK122" s="227"/>
      <c r="DL122" s="227"/>
      <c r="DM122" s="227"/>
      <c r="DN122" s="227"/>
      <c r="DO122" s="47"/>
      <c r="DP122" s="19"/>
      <c r="DQ122" s="19"/>
      <c r="DR122" s="19"/>
      <c r="DS122" s="12"/>
      <c r="DT122" s="13"/>
    </row>
    <row r="123" spans="1:124" ht="5.0999999999999996" customHeight="1">
      <c r="A123" s="12"/>
      <c r="B123" s="18"/>
      <c r="C123" s="19"/>
      <c r="D123" s="19"/>
      <c r="E123" s="19"/>
      <c r="F123" s="48"/>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50"/>
      <c r="DP123" s="19"/>
      <c r="DQ123" s="19"/>
      <c r="DR123" s="19"/>
      <c r="DS123" s="12"/>
      <c r="DT123" s="13"/>
    </row>
    <row r="124" spans="1:124" ht="5.0999999999999996" customHeight="1">
      <c r="A124" s="12"/>
      <c r="B124" s="18"/>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2"/>
      <c r="DT124" s="13"/>
    </row>
    <row r="125" spans="1:124" s="17" customFormat="1" ht="165" customHeight="1">
      <c r="A125" s="14"/>
      <c r="B125" s="11"/>
      <c r="C125" s="19"/>
      <c r="D125" s="19"/>
      <c r="E125" s="19"/>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c r="DM125" s="15"/>
      <c r="DN125" s="15"/>
      <c r="DO125" s="24"/>
      <c r="DP125" s="15"/>
      <c r="DQ125" s="15"/>
      <c r="DR125" s="15"/>
      <c r="DS125" s="12"/>
      <c r="DT125" s="16"/>
    </row>
    <row r="126" spans="1:124" ht="20.100000000000001" customHeight="1">
      <c r="A126" s="12"/>
      <c r="B126" s="18"/>
      <c r="C126" s="19"/>
      <c r="D126" s="19"/>
      <c r="E126" s="19"/>
      <c r="F126" s="208" t="s">
        <v>977</v>
      </c>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8"/>
      <c r="AE126" s="208"/>
      <c r="AF126" s="208"/>
      <c r="AG126" s="208"/>
      <c r="AH126" s="208"/>
      <c r="AI126" s="208"/>
      <c r="AJ126" s="208"/>
      <c r="AK126" s="208"/>
      <c r="AL126" s="208"/>
      <c r="AM126" s="208"/>
      <c r="AN126" s="208"/>
      <c r="AO126" s="208"/>
      <c r="AP126" s="208"/>
      <c r="AQ126" s="208"/>
      <c r="AR126" s="208"/>
      <c r="AS126" s="208"/>
      <c r="AT126" s="208"/>
      <c r="AU126" s="208"/>
      <c r="AV126" s="208"/>
      <c r="AW126" s="208"/>
      <c r="AX126" s="208"/>
      <c r="AY126" s="208"/>
      <c r="AZ126" s="208"/>
      <c r="BA126" s="208"/>
      <c r="BB126" s="208"/>
      <c r="BC126" s="208"/>
      <c r="BD126" s="208"/>
      <c r="BE126" s="208"/>
      <c r="BF126" s="208"/>
      <c r="BG126" s="208"/>
      <c r="BH126" s="208"/>
      <c r="BI126" s="208"/>
      <c r="BJ126" s="208"/>
      <c r="BK126" s="208"/>
      <c r="BL126" s="208"/>
      <c r="BM126" s="208"/>
      <c r="BN126" s="208"/>
      <c r="BO126" s="208"/>
      <c r="BP126" s="208"/>
      <c r="BQ126" s="208"/>
      <c r="BR126" s="208"/>
      <c r="BS126" s="208"/>
      <c r="BT126" s="208"/>
      <c r="BU126" s="208"/>
      <c r="BV126" s="208"/>
      <c r="BW126" s="208"/>
      <c r="BX126" s="208"/>
      <c r="BY126" s="208"/>
      <c r="BZ126" s="208"/>
      <c r="CA126" s="208"/>
      <c r="CB126" s="208"/>
      <c r="CC126" s="208"/>
      <c r="CD126" s="208"/>
      <c r="CE126" s="208"/>
      <c r="CF126" s="208"/>
      <c r="CG126" s="208"/>
      <c r="CH126" s="208"/>
      <c r="CI126" s="208"/>
      <c r="CJ126" s="208"/>
      <c r="CK126" s="208"/>
      <c r="CL126" s="208"/>
      <c r="CM126" s="208"/>
      <c r="CN126" s="208"/>
      <c r="CO126" s="208"/>
      <c r="CP126" s="208"/>
      <c r="CQ126" s="208"/>
      <c r="CR126" s="208"/>
      <c r="CS126" s="208"/>
      <c r="CT126" s="208"/>
      <c r="CU126" s="208"/>
      <c r="CV126" s="208"/>
      <c r="CW126" s="208"/>
      <c r="CX126" s="208"/>
      <c r="CY126" s="208"/>
      <c r="CZ126" s="208"/>
      <c r="DA126" s="208"/>
      <c r="DB126" s="208"/>
      <c r="DC126" s="208"/>
      <c r="DD126" s="208"/>
      <c r="DE126" s="208"/>
      <c r="DF126" s="208"/>
      <c r="DG126" s="208"/>
      <c r="DH126" s="208"/>
      <c r="DI126" s="208"/>
      <c r="DJ126" s="208"/>
      <c r="DK126" s="208"/>
      <c r="DL126" s="208"/>
      <c r="DM126" s="208"/>
      <c r="DN126" s="208"/>
      <c r="DO126" s="208"/>
      <c r="DP126" s="19"/>
      <c r="DQ126" s="19"/>
      <c r="DR126" s="19"/>
      <c r="DS126" s="12"/>
      <c r="DT126" s="13"/>
    </row>
    <row r="127" spans="1:124" ht="5.0999999999999996" customHeight="1">
      <c r="A127" s="12"/>
      <c r="B127" s="18"/>
      <c r="C127" s="19"/>
      <c r="D127" s="19"/>
      <c r="E127" s="19"/>
      <c r="F127" s="43"/>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5"/>
      <c r="DP127" s="19"/>
      <c r="DQ127" s="19"/>
      <c r="DR127" s="19"/>
      <c r="DS127" s="12"/>
      <c r="DT127" s="13"/>
    </row>
    <row r="128" spans="1:124" ht="180" customHeight="1">
      <c r="A128" s="12"/>
      <c r="B128" s="18"/>
      <c r="C128" s="19"/>
      <c r="D128" s="19"/>
      <c r="E128" s="19"/>
      <c r="F128" s="46"/>
      <c r="G128" s="227" t="s">
        <v>1119</v>
      </c>
      <c r="H128" s="227"/>
      <c r="I128" s="227"/>
      <c r="J128" s="227"/>
      <c r="K128" s="227"/>
      <c r="L128" s="227"/>
      <c r="M128" s="227"/>
      <c r="N128" s="227"/>
      <c r="O128" s="227"/>
      <c r="P128" s="227"/>
      <c r="Q128" s="227"/>
      <c r="R128" s="227"/>
      <c r="S128" s="227"/>
      <c r="T128" s="227"/>
      <c r="U128" s="227"/>
      <c r="V128" s="227"/>
      <c r="W128" s="227"/>
      <c r="X128" s="227"/>
      <c r="Y128" s="227"/>
      <c r="Z128" s="227"/>
      <c r="AA128" s="227"/>
      <c r="AB128" s="227"/>
      <c r="AC128" s="227"/>
      <c r="AD128" s="227"/>
      <c r="AE128" s="227"/>
      <c r="AF128" s="227"/>
      <c r="AG128" s="227"/>
      <c r="AH128" s="227"/>
      <c r="AI128" s="227"/>
      <c r="AJ128" s="227"/>
      <c r="AK128" s="227"/>
      <c r="AL128" s="227"/>
      <c r="AM128" s="227"/>
      <c r="AN128" s="227"/>
      <c r="AO128" s="227"/>
      <c r="AP128" s="227"/>
      <c r="AQ128" s="227"/>
      <c r="AR128" s="227"/>
      <c r="AS128" s="227"/>
      <c r="AT128" s="227"/>
      <c r="AU128" s="227"/>
      <c r="AV128" s="227"/>
      <c r="AW128" s="227"/>
      <c r="AX128" s="227"/>
      <c r="AY128" s="227"/>
      <c r="AZ128" s="227"/>
      <c r="BA128" s="227"/>
      <c r="BB128" s="227"/>
      <c r="BC128" s="227"/>
      <c r="BD128" s="227"/>
      <c r="BE128" s="227"/>
      <c r="BF128" s="227"/>
      <c r="BG128" s="227"/>
      <c r="BH128" s="227"/>
      <c r="BI128" s="227"/>
      <c r="BJ128" s="227"/>
      <c r="BK128" s="227"/>
      <c r="BL128" s="227"/>
      <c r="BM128" s="227"/>
      <c r="BN128" s="227"/>
      <c r="BO128" s="227"/>
      <c r="BP128" s="227"/>
      <c r="BQ128" s="227"/>
      <c r="BR128" s="227"/>
      <c r="BS128" s="227"/>
      <c r="BT128" s="227"/>
      <c r="BU128" s="227"/>
      <c r="BV128" s="227"/>
      <c r="BW128" s="227"/>
      <c r="BX128" s="227"/>
      <c r="BY128" s="227"/>
      <c r="BZ128" s="227"/>
      <c r="CA128" s="227"/>
      <c r="CB128" s="227"/>
      <c r="CC128" s="227"/>
      <c r="CD128" s="227"/>
      <c r="CE128" s="227"/>
      <c r="CF128" s="227"/>
      <c r="CG128" s="227"/>
      <c r="CH128" s="227"/>
      <c r="CI128" s="227"/>
      <c r="CJ128" s="227"/>
      <c r="CK128" s="227"/>
      <c r="CL128" s="227"/>
      <c r="CM128" s="227"/>
      <c r="CN128" s="227"/>
      <c r="CO128" s="227"/>
      <c r="CP128" s="227"/>
      <c r="CQ128" s="227"/>
      <c r="CR128" s="227"/>
      <c r="CS128" s="227"/>
      <c r="CT128" s="227"/>
      <c r="CU128" s="227"/>
      <c r="CV128" s="227"/>
      <c r="CW128" s="227"/>
      <c r="CX128" s="227"/>
      <c r="CY128" s="227"/>
      <c r="CZ128" s="227"/>
      <c r="DA128" s="227"/>
      <c r="DB128" s="227"/>
      <c r="DC128" s="227"/>
      <c r="DD128" s="227"/>
      <c r="DE128" s="227"/>
      <c r="DF128" s="227"/>
      <c r="DG128" s="227"/>
      <c r="DH128" s="227"/>
      <c r="DI128" s="227"/>
      <c r="DJ128" s="227"/>
      <c r="DK128" s="227"/>
      <c r="DL128" s="227"/>
      <c r="DM128" s="227"/>
      <c r="DN128" s="227"/>
      <c r="DO128" s="47"/>
      <c r="DP128" s="19"/>
      <c r="DQ128" s="19"/>
      <c r="DR128" s="19"/>
      <c r="DS128" s="12"/>
      <c r="DT128" s="13"/>
    </row>
    <row r="129" spans="1:124" ht="5.0999999999999996" customHeight="1">
      <c r="A129" s="12"/>
      <c r="B129" s="18"/>
      <c r="C129" s="19"/>
      <c r="D129" s="19"/>
      <c r="E129" s="19"/>
      <c r="F129" s="48"/>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50"/>
      <c r="DP129" s="19"/>
      <c r="DQ129" s="19"/>
      <c r="DR129" s="19"/>
      <c r="DS129" s="12"/>
      <c r="DT129" s="13"/>
    </row>
    <row r="130" spans="1:124" ht="15" customHeight="1">
      <c r="A130" s="12"/>
      <c r="B130" s="18"/>
      <c r="C130" s="19"/>
      <c r="D130" s="19"/>
      <c r="E130" s="19"/>
      <c r="F130" s="169" t="s">
        <v>974</v>
      </c>
      <c r="G130" s="169"/>
      <c r="H130" s="169"/>
      <c r="I130" s="169"/>
      <c r="J130" s="169"/>
      <c r="K130" s="169"/>
      <c r="L130" s="169"/>
      <c r="M130" s="169"/>
      <c r="N130" s="169"/>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169"/>
      <c r="BN130" s="169"/>
      <c r="BO130" s="169"/>
      <c r="BP130" s="169"/>
      <c r="BQ130" s="169"/>
      <c r="BR130" s="169"/>
      <c r="BS130" s="169"/>
      <c r="BT130" s="169"/>
      <c r="BU130" s="169"/>
      <c r="BV130" s="169"/>
      <c r="BW130" s="169"/>
      <c r="BX130" s="169"/>
      <c r="BY130" s="169"/>
      <c r="BZ130" s="169"/>
      <c r="CA130" s="169"/>
      <c r="CB130" s="169"/>
      <c r="CC130" s="169"/>
      <c r="CD130" s="169"/>
      <c r="CE130" s="169"/>
      <c r="CF130" s="169"/>
      <c r="CG130" s="169"/>
      <c r="CH130" s="169"/>
      <c r="CI130" s="169"/>
      <c r="CJ130" s="169"/>
      <c r="CK130" s="169"/>
      <c r="CL130" s="169"/>
      <c r="CM130" s="169"/>
      <c r="CN130" s="169"/>
      <c r="CO130" s="169"/>
      <c r="CP130" s="169"/>
      <c r="CQ130" s="169"/>
      <c r="CR130" s="169"/>
      <c r="CS130" s="169"/>
      <c r="CT130" s="169"/>
      <c r="CU130" s="169"/>
      <c r="CV130" s="169"/>
      <c r="CW130" s="169"/>
      <c r="CX130" s="169"/>
      <c r="CY130" s="169"/>
      <c r="CZ130" s="169"/>
      <c r="DA130" s="169"/>
      <c r="DB130" s="169"/>
      <c r="DC130" s="169"/>
      <c r="DD130" s="169"/>
      <c r="DE130" s="169"/>
      <c r="DF130" s="169"/>
      <c r="DG130" s="169"/>
      <c r="DH130" s="169"/>
      <c r="DI130" s="169"/>
      <c r="DJ130" s="169"/>
      <c r="DK130" s="169"/>
      <c r="DL130" s="169"/>
      <c r="DM130" s="169"/>
      <c r="DN130" s="169"/>
      <c r="DO130" s="169"/>
      <c r="DP130" s="19"/>
      <c r="DQ130" s="19"/>
      <c r="DR130" s="19"/>
      <c r="DS130" s="12"/>
      <c r="DT130" s="13"/>
    </row>
    <row r="131" spans="1:124" ht="5.0999999999999996" customHeight="1">
      <c r="DS131" s="12"/>
    </row>
    <row r="132" spans="1:124" ht="5.0999999999999996" customHeight="1">
      <c r="B132" s="12"/>
      <c r="DS132" s="12"/>
    </row>
    <row r="133" spans="1:124" s="5" customFormat="1" ht="15" customHeight="1">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2"/>
      <c r="CY133" s="12"/>
      <c r="CZ133" s="12"/>
      <c r="DA133" s="12"/>
      <c r="DB133" s="12"/>
      <c r="DC133" s="12"/>
      <c r="DD133" s="12"/>
      <c r="DE133" s="12"/>
      <c r="DF133" s="12"/>
      <c r="DG133" s="12"/>
      <c r="DH133" s="12"/>
      <c r="DI133" s="12"/>
      <c r="DJ133" s="12"/>
      <c r="DK133" s="12"/>
      <c r="DL133" s="12"/>
      <c r="DM133" s="12"/>
      <c r="DN133" s="12"/>
      <c r="DO133" s="12"/>
      <c r="DP133" s="12"/>
      <c r="DQ133" s="12"/>
      <c r="DR133" s="12"/>
      <c r="DS133" s="12"/>
    </row>
    <row r="134" spans="1:124" s="5" customFormat="1" ht="42" customHeight="1" thickBot="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2"/>
      <c r="CY134" s="12"/>
      <c r="CZ134" s="12"/>
      <c r="DA134" s="12"/>
      <c r="DB134" s="12"/>
      <c r="DC134" s="12"/>
      <c r="DD134" s="12"/>
      <c r="DE134" s="12"/>
      <c r="DF134" s="12"/>
      <c r="DG134" s="12"/>
      <c r="DH134" s="12"/>
      <c r="DI134" s="12"/>
      <c r="DJ134" s="12"/>
      <c r="DK134" s="12"/>
      <c r="DL134" s="12"/>
      <c r="DM134" s="12"/>
      <c r="DN134" s="12"/>
      <c r="DO134" s="12"/>
      <c r="DP134" s="12"/>
      <c r="DQ134" s="12"/>
      <c r="DR134" s="12"/>
      <c r="DS134" s="12"/>
      <c r="DT134" s="12"/>
    </row>
    <row r="135" spans="1:124" s="5" customFormat="1" ht="5.0999999999999996" customHeight="1" thickTop="1">
      <c r="C135" s="106"/>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8"/>
      <c r="DS135" s="12"/>
      <c r="DT135" s="12"/>
    </row>
    <row r="136" spans="1:124" s="5" customFormat="1" ht="2.1" customHeight="1">
      <c r="C136" s="10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10"/>
      <c r="DS136" s="12"/>
      <c r="DT136" s="12"/>
    </row>
    <row r="137" spans="1:124" ht="5.0999999999999996" customHeight="1">
      <c r="A137" s="12"/>
      <c r="C137" s="109"/>
      <c r="D137" s="43"/>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5"/>
      <c r="DR137" s="110"/>
      <c r="DS137" s="12"/>
      <c r="DT137" s="13"/>
    </row>
    <row r="138" spans="1:124" ht="15" customHeight="1">
      <c r="A138" s="12"/>
      <c r="C138" s="109"/>
      <c r="D138" s="46"/>
      <c r="E138" s="125" t="s">
        <v>979</v>
      </c>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49"/>
      <c r="AR138" s="123" t="s">
        <v>980</v>
      </c>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3"/>
      <c r="BQ138" s="123"/>
      <c r="BR138" s="123"/>
      <c r="BS138" s="123"/>
      <c r="BT138" s="123"/>
      <c r="BU138" s="123"/>
      <c r="BV138" s="123"/>
      <c r="BW138" s="123"/>
      <c r="BX138" s="123"/>
      <c r="BY138" s="100"/>
      <c r="BZ138" s="123" t="s">
        <v>981</v>
      </c>
      <c r="CA138" s="123"/>
      <c r="CB138" s="123"/>
      <c r="CC138" s="123"/>
      <c r="CD138" s="123"/>
      <c r="CE138" s="123"/>
      <c r="CF138" s="123"/>
      <c r="CG138" s="100"/>
      <c r="CH138" s="123" t="s">
        <v>982</v>
      </c>
      <c r="CI138" s="123"/>
      <c r="CJ138" s="123"/>
      <c r="CK138" s="123"/>
      <c r="CL138" s="123"/>
      <c r="CM138" s="123"/>
      <c r="CN138" s="100"/>
      <c r="CO138" s="125" t="s">
        <v>983</v>
      </c>
      <c r="CP138" s="125"/>
      <c r="CQ138" s="125"/>
      <c r="CR138" s="125"/>
      <c r="CS138" s="125"/>
      <c r="CT138" s="125"/>
      <c r="CU138" s="125"/>
      <c r="CV138" s="125"/>
      <c r="CW138" s="125"/>
      <c r="CX138" s="125"/>
      <c r="CY138" s="125"/>
      <c r="CZ138" s="125"/>
      <c r="DA138" s="100"/>
      <c r="DB138" s="123" t="s">
        <v>984</v>
      </c>
      <c r="DC138" s="123"/>
      <c r="DD138" s="123"/>
      <c r="DE138" s="123"/>
      <c r="DF138" s="123"/>
      <c r="DG138" s="123"/>
      <c r="DH138" s="123"/>
      <c r="DI138" s="123"/>
      <c r="DJ138" s="100"/>
      <c r="DK138" s="125" t="s">
        <v>985</v>
      </c>
      <c r="DL138" s="125"/>
      <c r="DM138" s="125"/>
      <c r="DN138" s="125"/>
      <c r="DO138" s="125"/>
      <c r="DP138" s="125"/>
      <c r="DQ138" s="47"/>
      <c r="DR138" s="110"/>
    </row>
    <row r="139" spans="1:124" ht="15" customHeight="1">
      <c r="A139" s="52"/>
      <c r="C139" s="109"/>
      <c r="D139" s="46"/>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5"/>
      <c r="AH139" s="125"/>
      <c r="AI139" s="125"/>
      <c r="AJ139" s="125"/>
      <c r="AK139" s="125"/>
      <c r="AL139" s="125"/>
      <c r="AM139" s="125"/>
      <c r="AN139" s="125"/>
      <c r="AO139" s="125"/>
      <c r="AP139" s="125"/>
      <c r="AQ139" s="49"/>
      <c r="AR139" s="127" t="s">
        <v>986</v>
      </c>
      <c r="AS139" s="127"/>
      <c r="AT139" s="127"/>
      <c r="AU139" s="127"/>
      <c r="AV139" s="127"/>
      <c r="AW139" s="127"/>
      <c r="AX139" s="127"/>
      <c r="AY139" s="127"/>
      <c r="AZ139" s="127"/>
      <c r="BA139" s="127"/>
      <c r="BB139" s="127"/>
      <c r="BC139" s="127"/>
      <c r="BD139" s="127"/>
      <c r="BE139" s="127"/>
      <c r="BF139" s="127"/>
      <c r="BG139" s="127"/>
      <c r="BH139" s="127"/>
      <c r="BI139" s="127"/>
      <c r="BJ139" s="127"/>
      <c r="BK139" s="127"/>
      <c r="BL139" s="127"/>
      <c r="BM139" s="127"/>
      <c r="BN139" s="127"/>
      <c r="BO139" s="127"/>
      <c r="BP139" s="127"/>
      <c r="BQ139" s="127"/>
      <c r="BR139" s="127"/>
      <c r="BS139" s="127"/>
      <c r="BT139" s="127"/>
      <c r="BU139" s="127"/>
      <c r="BV139" s="127"/>
      <c r="BW139" s="127"/>
      <c r="BX139" s="127"/>
      <c r="BY139" s="100"/>
      <c r="BZ139" s="124" t="s">
        <v>987</v>
      </c>
      <c r="CA139" s="124"/>
      <c r="CB139" s="124"/>
      <c r="CC139" s="124"/>
      <c r="CD139" s="124"/>
      <c r="CE139" s="124"/>
      <c r="CF139" s="124"/>
      <c r="CG139" s="100"/>
      <c r="CH139" s="124" t="s">
        <v>988</v>
      </c>
      <c r="CI139" s="124"/>
      <c r="CJ139" s="124"/>
      <c r="CK139" s="124"/>
      <c r="CL139" s="124"/>
      <c r="CM139" s="124"/>
      <c r="CN139" s="100"/>
      <c r="CO139" s="126" t="s">
        <v>989</v>
      </c>
      <c r="CP139" s="126"/>
      <c r="CQ139" s="126"/>
      <c r="CR139" s="126"/>
      <c r="CS139" s="126"/>
      <c r="CT139" s="126"/>
      <c r="CU139" s="126"/>
      <c r="CV139" s="126"/>
      <c r="CW139" s="126"/>
      <c r="CX139" s="126"/>
      <c r="CY139" s="126"/>
      <c r="CZ139" s="126"/>
      <c r="DA139" s="100"/>
      <c r="DB139" s="124" t="s">
        <v>990</v>
      </c>
      <c r="DC139" s="124"/>
      <c r="DD139" s="124"/>
      <c r="DE139" s="124"/>
      <c r="DF139" s="124"/>
      <c r="DG139" s="124"/>
      <c r="DH139" s="124"/>
      <c r="DI139" s="124"/>
      <c r="DJ139" s="100"/>
      <c r="DK139" s="125" t="s">
        <v>990</v>
      </c>
      <c r="DL139" s="125"/>
      <c r="DM139" s="125"/>
      <c r="DN139" s="125"/>
      <c r="DO139" s="125"/>
      <c r="DP139" s="125"/>
      <c r="DQ139" s="47"/>
      <c r="DR139" s="110"/>
    </row>
    <row r="140" spans="1:124" ht="1.35" customHeight="1">
      <c r="A140" s="52">
        <v>5</v>
      </c>
      <c r="C140" s="109"/>
      <c r="D140" s="46"/>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31"/>
      <c r="CR140" s="31"/>
      <c r="CS140" s="31"/>
      <c r="CT140" s="31"/>
      <c r="CU140" s="31"/>
      <c r="CV140" s="31"/>
      <c r="CW140" s="31"/>
      <c r="CX140" s="31"/>
      <c r="CY140" s="31"/>
      <c r="CZ140" s="31"/>
      <c r="DA140" s="31"/>
      <c r="DB140" s="31"/>
      <c r="DC140" s="31"/>
      <c r="DD140" s="31"/>
      <c r="DE140" s="31"/>
      <c r="DF140" s="31"/>
      <c r="DG140" s="31"/>
      <c r="DH140" s="31"/>
      <c r="DI140" s="31"/>
      <c r="DJ140" s="31"/>
      <c r="DK140" s="31"/>
      <c r="DL140" s="31"/>
      <c r="DM140" s="31"/>
      <c r="DN140" s="31"/>
      <c r="DO140" s="31"/>
      <c r="DP140" s="31"/>
      <c r="DQ140" s="47"/>
      <c r="DR140" s="110"/>
    </row>
    <row r="141" spans="1:124" ht="0.95" customHeight="1">
      <c r="A141" s="52">
        <v>5</v>
      </c>
      <c r="C141" s="109"/>
      <c r="D141" s="46"/>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31"/>
      <c r="CR141" s="31"/>
      <c r="CS141" s="31"/>
      <c r="CT141" s="31"/>
      <c r="CU141" s="31"/>
      <c r="CV141" s="31"/>
      <c r="CW141" s="31"/>
      <c r="CX141" s="31"/>
      <c r="CY141" s="31"/>
      <c r="CZ141" s="31"/>
      <c r="DA141" s="31"/>
      <c r="DB141" s="31"/>
      <c r="DC141" s="31"/>
      <c r="DD141" s="31"/>
      <c r="DE141" s="31"/>
      <c r="DF141" s="31"/>
      <c r="DG141" s="31"/>
      <c r="DH141" s="31"/>
      <c r="DI141" s="31"/>
      <c r="DJ141" s="31"/>
      <c r="DK141" s="31"/>
      <c r="DL141" s="31"/>
      <c r="DM141" s="31"/>
      <c r="DN141" s="31"/>
      <c r="DO141" s="31"/>
      <c r="DP141" s="31"/>
      <c r="DQ141" s="47"/>
      <c r="DR141" s="110"/>
    </row>
    <row r="142" spans="1:124" ht="69.95" customHeight="1">
      <c r="A142" s="52">
        <v>32</v>
      </c>
      <c r="C142" s="109"/>
      <c r="D142" s="46"/>
      <c r="E142" s="210" t="s">
        <v>991</v>
      </c>
      <c r="F142" s="210"/>
      <c r="G142" s="210"/>
      <c r="H142" s="210"/>
      <c r="I142" s="211" t="s">
        <v>1120</v>
      </c>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49"/>
      <c r="AR142" s="102"/>
      <c r="AS142" s="211" t="s">
        <v>1121</v>
      </c>
      <c r="AT142" s="211"/>
      <c r="AU142" s="211"/>
      <c r="AV142" s="211"/>
      <c r="AW142" s="211"/>
      <c r="AX142" s="211"/>
      <c r="AY142" s="211"/>
      <c r="AZ142" s="211"/>
      <c r="BA142" s="211"/>
      <c r="BB142" s="211"/>
      <c r="BC142" s="211"/>
      <c r="BD142" s="211"/>
      <c r="BE142" s="211"/>
      <c r="BF142" s="211"/>
      <c r="BG142" s="211"/>
      <c r="BH142" s="211"/>
      <c r="BI142" s="211"/>
      <c r="BJ142" s="211"/>
      <c r="BK142" s="211"/>
      <c r="BL142" s="211"/>
      <c r="BM142" s="211"/>
      <c r="BN142" s="211"/>
      <c r="BO142" s="211"/>
      <c r="BP142" s="211"/>
      <c r="BQ142" s="211"/>
      <c r="BR142" s="211"/>
      <c r="BS142" s="211"/>
      <c r="BT142" s="211"/>
      <c r="BU142" s="211"/>
      <c r="BV142" s="211"/>
      <c r="BW142" s="211"/>
      <c r="BX142" s="211"/>
      <c r="BY142" s="89"/>
      <c r="BZ142" s="212" t="s">
        <v>994</v>
      </c>
      <c r="CA142" s="212"/>
      <c r="CB142" s="212"/>
      <c r="CC142" s="212"/>
      <c r="CD142" s="212"/>
      <c r="CE142" s="212"/>
      <c r="CF142" s="212"/>
      <c r="CG142" s="89"/>
      <c r="CH142" s="213">
        <v>2</v>
      </c>
      <c r="CI142" s="213"/>
      <c r="CJ142" s="213"/>
      <c r="CK142" s="213"/>
      <c r="CL142" s="213"/>
      <c r="CM142" s="213"/>
      <c r="CN142" s="89"/>
      <c r="CO142" s="214" t="s">
        <v>995</v>
      </c>
      <c r="CP142" s="214"/>
      <c r="CQ142" s="214"/>
      <c r="CR142" s="214"/>
      <c r="CS142" s="214"/>
      <c r="CT142" s="214"/>
      <c r="CU142" s="214"/>
      <c r="CV142" s="214"/>
      <c r="CW142" s="214"/>
      <c r="CX142" s="214"/>
      <c r="CY142" s="214"/>
      <c r="CZ142" s="214"/>
      <c r="DA142" s="89"/>
      <c r="DB142" s="215" t="s">
        <v>1005</v>
      </c>
      <c r="DC142" s="215"/>
      <c r="DD142" s="215"/>
      <c r="DE142" s="215"/>
      <c r="DF142" s="215"/>
      <c r="DG142" s="215"/>
      <c r="DH142" s="215"/>
      <c r="DI142" s="215"/>
      <c r="DJ142" s="89"/>
      <c r="DK142" s="213"/>
      <c r="DL142" s="213"/>
      <c r="DM142" s="213"/>
      <c r="DN142" s="213"/>
      <c r="DO142" s="213"/>
      <c r="DP142" s="213"/>
      <c r="DQ142" s="47"/>
      <c r="DR142" s="110"/>
    </row>
    <row r="143" spans="1:124" ht="0.95" customHeight="1">
      <c r="A143" s="52">
        <v>1</v>
      </c>
      <c r="C143" s="109"/>
      <c r="D143" s="46"/>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49"/>
      <c r="AR143" s="89"/>
      <c r="AS143" s="89"/>
      <c r="AT143" s="89"/>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89"/>
      <c r="BY143" s="89"/>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89"/>
      <c r="DD143" s="89"/>
      <c r="DE143" s="89"/>
      <c r="DF143" s="89"/>
      <c r="DG143" s="89"/>
      <c r="DH143" s="89"/>
      <c r="DI143" s="89"/>
      <c r="DJ143" s="89"/>
      <c r="DK143" s="89"/>
      <c r="DL143" s="89"/>
      <c r="DM143" s="89"/>
      <c r="DN143" s="89"/>
      <c r="DO143" s="89"/>
      <c r="DP143" s="89"/>
      <c r="DQ143" s="47"/>
      <c r="DR143" s="110"/>
    </row>
    <row r="144" spans="1:124" ht="150" customHeight="1">
      <c r="A144" s="52">
        <v>32</v>
      </c>
      <c r="C144" s="109"/>
      <c r="D144" s="46"/>
      <c r="E144" s="210" t="s">
        <v>997</v>
      </c>
      <c r="F144" s="210"/>
      <c r="G144" s="210"/>
      <c r="H144" s="210"/>
      <c r="I144" s="211" t="s">
        <v>1122</v>
      </c>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49"/>
      <c r="AR144" s="102"/>
      <c r="AS144" s="211" t="s">
        <v>1123</v>
      </c>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c r="BQ144" s="211"/>
      <c r="BR144" s="211"/>
      <c r="BS144" s="211"/>
      <c r="BT144" s="211"/>
      <c r="BU144" s="211"/>
      <c r="BV144" s="211"/>
      <c r="BW144" s="211"/>
      <c r="BX144" s="211"/>
      <c r="BY144" s="89"/>
      <c r="BZ144" s="212" t="s">
        <v>994</v>
      </c>
      <c r="CA144" s="212"/>
      <c r="CB144" s="212"/>
      <c r="CC144" s="212"/>
      <c r="CD144" s="212"/>
      <c r="CE144" s="212"/>
      <c r="CF144" s="212"/>
      <c r="CG144" s="89"/>
      <c r="CH144" s="213">
        <v>2</v>
      </c>
      <c r="CI144" s="213"/>
      <c r="CJ144" s="213"/>
      <c r="CK144" s="213"/>
      <c r="CL144" s="213"/>
      <c r="CM144" s="213"/>
      <c r="CN144" s="89"/>
      <c r="CO144" s="214" t="s">
        <v>995</v>
      </c>
      <c r="CP144" s="214"/>
      <c r="CQ144" s="214"/>
      <c r="CR144" s="214"/>
      <c r="CS144" s="214"/>
      <c r="CT144" s="214"/>
      <c r="CU144" s="214"/>
      <c r="CV144" s="214"/>
      <c r="CW144" s="214"/>
      <c r="CX144" s="214"/>
      <c r="CY144" s="214"/>
      <c r="CZ144" s="214"/>
      <c r="DA144" s="89"/>
      <c r="DB144" s="215" t="s">
        <v>1005</v>
      </c>
      <c r="DC144" s="215"/>
      <c r="DD144" s="215"/>
      <c r="DE144" s="215"/>
      <c r="DF144" s="215"/>
      <c r="DG144" s="215"/>
      <c r="DH144" s="215"/>
      <c r="DI144" s="215"/>
      <c r="DJ144" s="89"/>
      <c r="DK144" s="213"/>
      <c r="DL144" s="213"/>
      <c r="DM144" s="213"/>
      <c r="DN144" s="213"/>
      <c r="DO144" s="213"/>
      <c r="DP144" s="213"/>
      <c r="DQ144" s="47"/>
      <c r="DR144" s="110"/>
    </row>
    <row r="145" spans="1:124" ht="0.95" customHeight="1">
      <c r="A145" s="52">
        <v>1</v>
      </c>
      <c r="C145" s="109"/>
      <c r="D145" s="46"/>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49"/>
      <c r="AR145" s="89"/>
      <c r="AS145" s="89"/>
      <c r="AT145" s="89"/>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89"/>
      <c r="BY145" s="89"/>
      <c r="BZ145" s="89"/>
      <c r="CA145" s="89"/>
      <c r="CB145" s="89"/>
      <c r="CC145" s="89"/>
      <c r="CD145" s="89"/>
      <c r="CE145" s="89"/>
      <c r="CF145" s="89"/>
      <c r="CG145" s="89"/>
      <c r="CH145" s="89"/>
      <c r="CI145" s="89"/>
      <c r="CJ145" s="89"/>
      <c r="CK145" s="89"/>
      <c r="CL145" s="89"/>
      <c r="CM145" s="89"/>
      <c r="CN145" s="89"/>
      <c r="CO145" s="89"/>
      <c r="CP145" s="89"/>
      <c r="CQ145" s="89"/>
      <c r="CR145" s="89"/>
      <c r="CS145" s="89"/>
      <c r="CT145" s="89"/>
      <c r="CU145" s="89"/>
      <c r="CV145" s="89"/>
      <c r="CW145" s="89"/>
      <c r="CX145" s="89"/>
      <c r="CY145" s="89"/>
      <c r="CZ145" s="89"/>
      <c r="DA145" s="89"/>
      <c r="DB145" s="89"/>
      <c r="DC145" s="89"/>
      <c r="DD145" s="89"/>
      <c r="DE145" s="89"/>
      <c r="DF145" s="89"/>
      <c r="DG145" s="89"/>
      <c r="DH145" s="89"/>
      <c r="DI145" s="89"/>
      <c r="DJ145" s="89"/>
      <c r="DK145" s="89"/>
      <c r="DL145" s="89"/>
      <c r="DM145" s="89"/>
      <c r="DN145" s="89"/>
      <c r="DO145" s="89"/>
      <c r="DP145" s="89"/>
      <c r="DQ145" s="47"/>
      <c r="DR145" s="110"/>
    </row>
    <row r="146" spans="1:124" ht="240" customHeight="1">
      <c r="A146" s="52">
        <v>1</v>
      </c>
      <c r="C146" s="109"/>
      <c r="D146" s="46"/>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c r="AE146" s="210"/>
      <c r="AF146" s="210"/>
      <c r="AG146" s="210"/>
      <c r="AH146" s="210"/>
      <c r="AI146" s="210"/>
      <c r="AJ146" s="210"/>
      <c r="AK146" s="210"/>
      <c r="AL146" s="210"/>
      <c r="AM146" s="210"/>
      <c r="AN146" s="210"/>
      <c r="AO146" s="210"/>
      <c r="AP146" s="210"/>
      <c r="AQ146" s="210"/>
      <c r="AR146" s="210"/>
      <c r="AS146" s="210"/>
      <c r="AT146" s="210"/>
      <c r="AU146" s="210"/>
      <c r="AV146" s="210"/>
      <c r="AW146" s="210"/>
      <c r="AX146" s="210"/>
      <c r="AY146" s="210"/>
      <c r="AZ146" s="210"/>
      <c r="BA146" s="210"/>
      <c r="BB146" s="210"/>
      <c r="BC146" s="210"/>
      <c r="BD146" s="210"/>
      <c r="BE146" s="210"/>
      <c r="BF146" s="210"/>
      <c r="BG146" s="210"/>
      <c r="BH146" s="210"/>
      <c r="BI146" s="210"/>
      <c r="BJ146" s="210"/>
      <c r="BK146" s="210"/>
      <c r="BL146" s="210"/>
      <c r="BM146" s="210"/>
      <c r="BN146" s="210"/>
      <c r="BO146" s="210"/>
      <c r="BP146" s="210"/>
      <c r="BQ146" s="210"/>
      <c r="BR146" s="210"/>
      <c r="BS146" s="210"/>
      <c r="BT146" s="210"/>
      <c r="BU146" s="210"/>
      <c r="BV146" s="210"/>
      <c r="BW146" s="210"/>
      <c r="BX146" s="210"/>
      <c r="BY146" s="210"/>
      <c r="BZ146" s="210"/>
      <c r="CA146" s="210"/>
      <c r="CB146" s="210"/>
      <c r="CC146" s="210"/>
      <c r="CD146" s="210"/>
      <c r="CE146" s="210"/>
      <c r="CF146" s="210"/>
      <c r="CG146" s="210"/>
      <c r="CH146" s="210"/>
      <c r="CI146" s="210"/>
      <c r="CJ146" s="210"/>
      <c r="CK146" s="210"/>
      <c r="CL146" s="210"/>
      <c r="CM146" s="210"/>
      <c r="CN146" s="210"/>
      <c r="CO146" s="210"/>
      <c r="CP146" s="210"/>
      <c r="CQ146" s="210"/>
      <c r="CR146" s="210"/>
      <c r="CS146" s="210"/>
      <c r="CT146" s="210"/>
      <c r="CU146" s="210"/>
      <c r="CV146" s="210"/>
      <c r="CW146" s="210"/>
      <c r="CX146" s="210"/>
      <c r="CY146" s="210"/>
      <c r="CZ146" s="210"/>
      <c r="DA146" s="210"/>
      <c r="DB146" s="210"/>
      <c r="DC146" s="210"/>
      <c r="DD146" s="210"/>
      <c r="DE146" s="210"/>
      <c r="DF146" s="210"/>
      <c r="DG146" s="210"/>
      <c r="DH146" s="210"/>
      <c r="DI146" s="210"/>
      <c r="DJ146" s="210"/>
      <c r="DK146" s="210"/>
      <c r="DL146" s="210"/>
      <c r="DM146" s="210"/>
      <c r="DN146" s="210"/>
      <c r="DO146" s="210"/>
      <c r="DP146" s="210"/>
      <c r="DQ146" s="47"/>
      <c r="DR146" s="110"/>
    </row>
    <row r="147" spans="1:124" ht="80.099999999999994" customHeight="1">
      <c r="A147" s="52">
        <v>32</v>
      </c>
      <c r="C147" s="109"/>
      <c r="D147" s="46"/>
      <c r="F147" s="228" t="s">
        <v>1124</v>
      </c>
      <c r="G147" s="229"/>
      <c r="H147" s="229"/>
      <c r="I147" s="229"/>
      <c r="J147" s="229"/>
      <c r="K147" s="229"/>
      <c r="L147" s="229"/>
      <c r="M147" s="229"/>
      <c r="N147" s="229"/>
      <c r="O147" s="229"/>
      <c r="P147" s="229"/>
      <c r="Q147" s="229"/>
      <c r="R147" s="229"/>
      <c r="S147" s="229"/>
      <c r="T147" s="229"/>
      <c r="U147" s="229"/>
      <c r="V147" s="229"/>
      <c r="W147" s="229"/>
      <c r="X147" s="229"/>
      <c r="Y147" s="229"/>
      <c r="Z147" s="229"/>
      <c r="AA147" s="229"/>
      <c r="AB147" s="229"/>
      <c r="AC147" s="229"/>
      <c r="AD147" s="229"/>
      <c r="AE147" s="229"/>
      <c r="AF147" s="229"/>
      <c r="AG147" s="229"/>
      <c r="AH147" s="229"/>
      <c r="AI147" s="229"/>
      <c r="AJ147" s="229"/>
      <c r="AK147" s="229"/>
      <c r="AL147" s="229"/>
      <c r="AM147" s="229"/>
      <c r="AN147" s="229"/>
      <c r="AO147" s="229"/>
      <c r="AP147" s="229"/>
      <c r="AQ147" s="229"/>
      <c r="AR147" s="229"/>
      <c r="AS147" s="229"/>
      <c r="AT147" s="229"/>
      <c r="AU147" s="229"/>
      <c r="AV147" s="229"/>
      <c r="AW147" s="229"/>
      <c r="AX147" s="229"/>
      <c r="AY147" s="229"/>
      <c r="AZ147" s="229"/>
      <c r="BA147" s="229"/>
      <c r="BB147" s="229"/>
      <c r="BC147" s="229"/>
      <c r="BD147" s="230"/>
      <c r="DQ147" s="47"/>
      <c r="DR147" s="110"/>
      <c r="DT147" s="13"/>
    </row>
    <row r="148" spans="1:124" s="5" customFormat="1" ht="5.0999999999999996" customHeight="1">
      <c r="A148" s="52"/>
      <c r="B148"/>
      <c r="C148" s="109"/>
      <c r="D148" s="46"/>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c r="DK148" s="101"/>
      <c r="DL148" s="101"/>
      <c r="DM148" s="101"/>
      <c r="DN148" s="101"/>
      <c r="DO148" s="101"/>
      <c r="DP148" s="101"/>
      <c r="DQ148" s="47"/>
      <c r="DR148" s="110"/>
      <c r="DS148"/>
      <c r="DT148" s="12"/>
    </row>
    <row r="149" spans="1:124" ht="5.0999999999999996" customHeight="1">
      <c r="A149" s="52">
        <v>5</v>
      </c>
      <c r="C149" s="109"/>
      <c r="D149" s="46"/>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89"/>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89"/>
      <c r="BY149" s="89"/>
      <c r="BZ149" s="89"/>
      <c r="CA149" s="89"/>
      <c r="CB149" s="89"/>
      <c r="CC149" s="42"/>
      <c r="CD149" s="42"/>
      <c r="CE149" s="69"/>
      <c r="CF149" s="69"/>
      <c r="CG149" s="89"/>
      <c r="CH149" s="42"/>
      <c r="CI149" s="42"/>
      <c r="CJ149" s="42"/>
      <c r="CK149" s="42"/>
      <c r="CL149" s="42"/>
      <c r="CM149" s="42"/>
      <c r="CN149" s="89"/>
      <c r="CO149" s="42"/>
      <c r="CP149" s="42"/>
      <c r="CQ149" s="42"/>
      <c r="CR149" s="42"/>
      <c r="CS149" s="42"/>
      <c r="CT149" s="42"/>
      <c r="CU149" s="42"/>
      <c r="CV149" s="42"/>
      <c r="CW149" s="42"/>
      <c r="CX149" s="42"/>
      <c r="CY149" s="42"/>
      <c r="CZ149" s="42"/>
      <c r="DA149" s="31"/>
      <c r="DB149" s="42"/>
      <c r="DC149" s="42"/>
      <c r="DD149" s="42"/>
      <c r="DE149" s="42"/>
      <c r="DF149" s="42"/>
      <c r="DG149" s="42"/>
      <c r="DH149" s="42"/>
      <c r="DI149" s="31"/>
      <c r="DJ149" s="31"/>
      <c r="DK149" s="42"/>
      <c r="DL149" s="42"/>
      <c r="DM149" s="42"/>
      <c r="DN149" s="42"/>
      <c r="DO149" s="42"/>
      <c r="DP149" s="42"/>
      <c r="DQ149" s="47"/>
      <c r="DR149" s="110"/>
      <c r="DS149" s="12"/>
      <c r="DT149" s="13"/>
    </row>
    <row r="150" spans="1:124" ht="30" customHeight="1">
      <c r="A150" s="52"/>
      <c r="C150" s="109"/>
      <c r="D150" s="46"/>
      <c r="E150" s="185" t="str">
        <f>"مجموع ساعات التدريب الفصلية من"&amp;" (  "&amp;$CH$151&amp;" )  "&amp;"ساعة"</f>
        <v>مجموع ساعات التدريب الفصلية من (  78 )  ساعة</v>
      </c>
      <c r="F150" s="185"/>
      <c r="G150" s="185"/>
      <c r="H150" s="185"/>
      <c r="I150" s="185"/>
      <c r="J150" s="185"/>
      <c r="K150" s="185"/>
      <c r="L150" s="185"/>
      <c r="M150" s="185"/>
      <c r="N150" s="185"/>
      <c r="O150" s="185"/>
      <c r="P150" s="185"/>
      <c r="Q150" s="185"/>
      <c r="R150" s="185"/>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c r="AX150" s="185"/>
      <c r="AY150" s="185"/>
      <c r="AZ150" s="185"/>
      <c r="BA150" s="185"/>
      <c r="BB150" s="185"/>
      <c r="BC150" s="185"/>
      <c r="BD150" s="185"/>
      <c r="BE150" s="185"/>
      <c r="BF150" s="185"/>
      <c r="BG150" s="185"/>
      <c r="BH150" s="185"/>
      <c r="BI150" s="185"/>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73">
        <v>78</v>
      </c>
      <c r="CI150" s="185"/>
      <c r="CJ150" s="185"/>
      <c r="CK150" s="185"/>
      <c r="CL150" s="185"/>
      <c r="CM150" s="185"/>
      <c r="CN150" s="89"/>
      <c r="CO150" s="147" t="s">
        <v>1069</v>
      </c>
      <c r="CP150" s="147"/>
      <c r="CQ150" s="147"/>
      <c r="CR150" s="147"/>
      <c r="CS150" s="147"/>
      <c r="CT150" s="147"/>
      <c r="CU150" s="147"/>
      <c r="CV150" s="147"/>
      <c r="CW150" s="147"/>
      <c r="CX150" s="147"/>
      <c r="CY150" s="147"/>
      <c r="CZ150" s="147"/>
      <c r="DA150" s="147"/>
      <c r="DB150" s="147"/>
      <c r="DC150" s="147"/>
      <c r="DD150" s="147"/>
      <c r="DE150" s="147"/>
      <c r="DF150" s="147"/>
      <c r="DG150" s="147"/>
      <c r="DH150" s="147"/>
      <c r="DI150" s="147"/>
      <c r="DJ150" s="147"/>
      <c r="DK150" s="173">
        <v>100</v>
      </c>
      <c r="DL150" s="173"/>
      <c r="DM150" s="173"/>
      <c r="DN150" s="173"/>
      <c r="DO150" s="173"/>
      <c r="DP150" s="173"/>
      <c r="DQ150" s="47"/>
      <c r="DR150" s="110"/>
    </row>
    <row r="151" spans="1:124" ht="5.0999999999999996" customHeight="1">
      <c r="A151" s="52"/>
      <c r="C151" s="109"/>
      <c r="D151" s="48"/>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181">
        <f>$CJ$93*13</f>
        <v>78</v>
      </c>
      <c r="CI151" s="181"/>
      <c r="CJ151" s="181"/>
      <c r="CK151" s="181"/>
      <c r="CL151" s="181"/>
      <c r="CM151" s="181"/>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50"/>
      <c r="DR151" s="110"/>
      <c r="DS151" s="12"/>
      <c r="DT151" s="13"/>
    </row>
    <row r="152" spans="1:124" s="5" customFormat="1" ht="5.0999999999999996" customHeight="1">
      <c r="A152" s="94"/>
      <c r="C152" s="10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10"/>
      <c r="DS152" s="12"/>
      <c r="DT152" s="12"/>
    </row>
    <row r="153" spans="1:124" ht="29.1" customHeight="1">
      <c r="A153" s="52"/>
      <c r="C153" s="109"/>
      <c r="D153" s="182" t="s">
        <v>1070</v>
      </c>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c r="AB153" s="183"/>
      <c r="AC153" s="183"/>
      <c r="AD153" s="183"/>
      <c r="AE153" s="183"/>
      <c r="AF153" s="183"/>
      <c r="AG153" s="183"/>
      <c r="AH153" s="183"/>
      <c r="AI153" s="183"/>
      <c r="AJ153" s="183"/>
      <c r="AK153" s="183"/>
      <c r="AL153" s="183"/>
      <c r="AM153" s="183"/>
      <c r="AN153" s="183"/>
      <c r="AO153" s="183"/>
      <c r="AP153" s="183"/>
      <c r="AQ153" s="183"/>
      <c r="AR153" s="183"/>
      <c r="AS153" s="183"/>
      <c r="AT153" s="183"/>
      <c r="AU153" s="183"/>
      <c r="AV153" s="183"/>
      <c r="AW153" s="183"/>
      <c r="AX153" s="183"/>
      <c r="AY153" s="183"/>
      <c r="AZ153" s="183"/>
      <c r="BA153" s="183"/>
      <c r="BB153" s="183"/>
      <c r="BC153" s="183"/>
      <c r="BD153" s="183"/>
      <c r="BE153" s="183"/>
      <c r="BF153" s="183"/>
      <c r="BG153" s="183"/>
      <c r="BH153" s="183"/>
      <c r="BI153" s="183"/>
      <c r="BJ153" s="183"/>
      <c r="BK153" s="183"/>
      <c r="BL153" s="183"/>
      <c r="BM153" s="183"/>
      <c r="BN153" s="183"/>
      <c r="BO153" s="183"/>
      <c r="BP153" s="183"/>
      <c r="BQ153" s="183"/>
      <c r="BR153" s="183"/>
      <c r="BS153" s="183"/>
      <c r="BT153" s="183"/>
      <c r="BU153" s="183"/>
      <c r="BV153" s="183"/>
      <c r="BW153" s="183"/>
      <c r="BX153" s="183"/>
      <c r="BY153" s="183"/>
      <c r="BZ153" s="183"/>
      <c r="CA153" s="183"/>
      <c r="CB153" s="183"/>
      <c r="CC153" s="183"/>
      <c r="CD153" s="183"/>
      <c r="CE153" s="183"/>
      <c r="CF153" s="183"/>
      <c r="CG153" s="183"/>
      <c r="CH153" s="183"/>
      <c r="CI153" s="183"/>
      <c r="CJ153" s="183"/>
      <c r="CK153" s="183"/>
      <c r="CL153" s="183"/>
      <c r="CM153" s="183"/>
      <c r="CN153" s="183"/>
      <c r="CO153" s="183"/>
      <c r="CP153" s="183"/>
      <c r="CQ153" s="183"/>
      <c r="CR153" s="183"/>
      <c r="CS153" s="183"/>
      <c r="CT153" s="183"/>
      <c r="CU153" s="183"/>
      <c r="CV153" s="183"/>
      <c r="CW153" s="183"/>
      <c r="CX153" s="183"/>
      <c r="CY153" s="183"/>
      <c r="CZ153" s="183"/>
      <c r="DA153" s="183"/>
      <c r="DB153" s="183"/>
      <c r="DC153" s="183"/>
      <c r="DD153" s="183"/>
      <c r="DE153" s="183"/>
      <c r="DF153" s="183"/>
      <c r="DG153" s="183"/>
      <c r="DH153" s="183"/>
      <c r="DI153" s="183"/>
      <c r="DJ153" s="183"/>
      <c r="DK153" s="183"/>
      <c r="DL153" s="183"/>
      <c r="DM153" s="183"/>
      <c r="DN153" s="183"/>
      <c r="DO153" s="183"/>
      <c r="DP153" s="183"/>
      <c r="DQ153" s="184"/>
      <c r="DR153" s="110"/>
      <c r="DS153" s="12"/>
      <c r="DT153" s="13"/>
    </row>
    <row r="154" spans="1:124" s="5" customFormat="1" ht="5.0999999999999996" customHeight="1">
      <c r="A154" s="94"/>
      <c r="C154" s="10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10"/>
      <c r="DS154" s="12"/>
      <c r="DT154" s="12"/>
    </row>
    <row r="155" spans="1:124" ht="5.0999999999999996" customHeight="1">
      <c r="A155" s="52"/>
      <c r="C155" s="109"/>
      <c r="D155" s="43"/>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5"/>
      <c r="DR155" s="110"/>
      <c r="DS155" s="12"/>
      <c r="DT155" s="13"/>
    </row>
    <row r="156" spans="1:124" ht="28.35" customHeight="1">
      <c r="A156" s="52"/>
      <c r="C156" s="109"/>
      <c r="D156" s="46"/>
      <c r="E156" s="191" t="s">
        <v>1071</v>
      </c>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c r="BF156" s="191"/>
      <c r="BG156" s="191"/>
      <c r="BH156" s="191"/>
      <c r="BI156" s="191"/>
      <c r="BJ156" s="191"/>
      <c r="BK156" s="191"/>
      <c r="BL156" s="191"/>
      <c r="BM156" s="191"/>
      <c r="BN156" s="191"/>
      <c r="BO156" s="191"/>
      <c r="BP156" s="191"/>
      <c r="BQ156" s="191"/>
      <c r="BR156" s="191"/>
      <c r="BS156" s="191"/>
      <c r="BT156" s="191"/>
      <c r="BU156" s="191"/>
      <c r="BV156" s="191"/>
      <c r="BW156" s="191"/>
      <c r="BX156" s="191"/>
      <c r="BY156" s="89"/>
      <c r="BZ156" s="192" t="s">
        <v>1072</v>
      </c>
      <c r="CA156" s="192"/>
      <c r="CB156" s="192"/>
      <c r="CC156" s="192"/>
      <c r="CD156" s="192"/>
      <c r="CE156" s="192"/>
      <c r="CF156" s="192"/>
      <c r="CG156" s="192"/>
      <c r="CH156" s="192"/>
      <c r="CI156" s="192"/>
      <c r="CJ156" s="192"/>
      <c r="CK156" s="192"/>
      <c r="CL156" s="192"/>
      <c r="CM156" s="192"/>
      <c r="CN156" s="192"/>
      <c r="CO156" s="192"/>
      <c r="CP156" s="192"/>
      <c r="CQ156" s="192"/>
      <c r="CR156" s="192"/>
      <c r="CS156" s="192"/>
      <c r="CT156" s="192"/>
      <c r="CU156" s="192"/>
      <c r="CV156" s="192"/>
      <c r="CW156" s="192"/>
      <c r="CX156" s="192"/>
      <c r="CY156" s="192"/>
      <c r="CZ156" s="192"/>
      <c r="DA156" s="192"/>
      <c r="DB156" s="192"/>
      <c r="DC156" s="192"/>
      <c r="DD156" s="192"/>
      <c r="DE156" s="192"/>
      <c r="DF156" s="192"/>
      <c r="DG156" s="192"/>
      <c r="DH156" s="192"/>
      <c r="DI156" s="192"/>
      <c r="DJ156" s="31"/>
      <c r="DK156" s="189">
        <v>60</v>
      </c>
      <c r="DL156" s="190"/>
      <c r="DM156" s="190"/>
      <c r="DN156" s="190"/>
      <c r="DO156" s="190"/>
      <c r="DP156" s="190"/>
      <c r="DQ156" s="47"/>
      <c r="DR156" s="110"/>
    </row>
    <row r="157" spans="1:124" ht="0.95" customHeight="1">
      <c r="A157" s="52"/>
      <c r="C157" s="109"/>
      <c r="D157" s="46"/>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c r="BF157" s="191"/>
      <c r="BG157" s="191"/>
      <c r="BH157" s="191"/>
      <c r="BI157" s="191"/>
      <c r="BJ157" s="191"/>
      <c r="BK157" s="191"/>
      <c r="BL157" s="191"/>
      <c r="BM157" s="191"/>
      <c r="BN157" s="191"/>
      <c r="BO157" s="191"/>
      <c r="BP157" s="191"/>
      <c r="BQ157" s="191"/>
      <c r="BR157" s="191"/>
      <c r="BS157" s="191"/>
      <c r="BT157" s="191"/>
      <c r="BU157" s="191"/>
      <c r="BV157" s="191"/>
      <c r="BW157" s="191"/>
      <c r="BX157" s="191"/>
      <c r="BY157" s="89"/>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47"/>
      <c r="DR157" s="110"/>
      <c r="DS157" s="12"/>
      <c r="DT157" s="13"/>
    </row>
    <row r="158" spans="1:124" ht="28.35" customHeight="1">
      <c r="A158" s="52"/>
      <c r="C158" s="109"/>
      <c r="D158" s="46"/>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c r="BF158" s="191"/>
      <c r="BG158" s="191"/>
      <c r="BH158" s="191"/>
      <c r="BI158" s="191"/>
      <c r="BJ158" s="191"/>
      <c r="BK158" s="191"/>
      <c r="BL158" s="191"/>
      <c r="BM158" s="191"/>
      <c r="BN158" s="191"/>
      <c r="BO158" s="191"/>
      <c r="BP158" s="191"/>
      <c r="BQ158" s="191"/>
      <c r="BR158" s="191"/>
      <c r="BS158" s="191"/>
      <c r="BT158" s="191"/>
      <c r="BU158" s="191"/>
      <c r="BV158" s="191"/>
      <c r="BW158" s="191"/>
      <c r="BX158" s="191"/>
      <c r="BY158" s="89"/>
      <c r="BZ158" s="192" t="s">
        <v>1073</v>
      </c>
      <c r="CA158" s="192"/>
      <c r="CB158" s="192"/>
      <c r="CC158" s="192"/>
      <c r="CD158" s="192"/>
      <c r="CE158" s="192"/>
      <c r="CF158" s="192"/>
      <c r="CG158" s="192"/>
      <c r="CH158" s="192"/>
      <c r="CI158" s="192"/>
      <c r="CJ158" s="192"/>
      <c r="CK158" s="192"/>
      <c r="CL158" s="192"/>
      <c r="CM158" s="192"/>
      <c r="CN158" s="192"/>
      <c r="CO158" s="192"/>
      <c r="CP158" s="192"/>
      <c r="CQ158" s="192"/>
      <c r="CR158" s="192"/>
      <c r="CS158" s="192"/>
      <c r="CT158" s="192"/>
      <c r="CU158" s="192"/>
      <c r="CV158" s="192"/>
      <c r="CW158" s="192"/>
      <c r="CX158" s="192"/>
      <c r="CY158" s="192"/>
      <c r="CZ158" s="192"/>
      <c r="DA158" s="192"/>
      <c r="DB158" s="192"/>
      <c r="DC158" s="192"/>
      <c r="DD158" s="192"/>
      <c r="DE158" s="192"/>
      <c r="DF158" s="192"/>
      <c r="DG158" s="192"/>
      <c r="DH158" s="192"/>
      <c r="DI158" s="192"/>
      <c r="DJ158" s="31"/>
      <c r="DK158" s="190">
        <v>40</v>
      </c>
      <c r="DL158" s="190"/>
      <c r="DM158" s="190"/>
      <c r="DN158" s="190"/>
      <c r="DO158" s="190"/>
      <c r="DP158" s="190"/>
      <c r="DQ158" s="47"/>
      <c r="DR158" s="110"/>
      <c r="DS158" s="12"/>
      <c r="DT158" s="13"/>
    </row>
    <row r="159" spans="1:124" ht="0.95" customHeight="1">
      <c r="A159" s="52"/>
      <c r="C159" s="109"/>
      <c r="D159" s="46"/>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c r="BF159" s="191"/>
      <c r="BG159" s="191"/>
      <c r="BH159" s="191"/>
      <c r="BI159" s="191"/>
      <c r="BJ159" s="191"/>
      <c r="BK159" s="191"/>
      <c r="BL159" s="191"/>
      <c r="BM159" s="191"/>
      <c r="BN159" s="191"/>
      <c r="BO159" s="191"/>
      <c r="BP159" s="191"/>
      <c r="BQ159" s="191"/>
      <c r="BR159" s="191"/>
      <c r="BS159" s="191"/>
      <c r="BT159" s="191"/>
      <c r="BU159" s="191"/>
      <c r="BV159" s="191"/>
      <c r="BW159" s="191"/>
      <c r="BX159" s="191"/>
      <c r="BY159" s="89"/>
      <c r="BZ159" s="31"/>
      <c r="CA159" s="31"/>
      <c r="CB159" s="31"/>
      <c r="CC159" s="31"/>
      <c r="CD159" s="31"/>
      <c r="CE159" s="31"/>
      <c r="CF159" s="31"/>
      <c r="CG159" s="31"/>
      <c r="CH159" s="31"/>
      <c r="CI159" s="31"/>
      <c r="CJ159" s="31"/>
      <c r="CK159" s="31"/>
      <c r="CL159" s="31"/>
      <c r="CM159" s="31"/>
      <c r="CN159" s="31"/>
      <c r="CO159" s="31"/>
      <c r="CP159" s="31"/>
      <c r="CQ159" s="31"/>
      <c r="CR159" s="31"/>
      <c r="CS159" s="31"/>
      <c r="CT159" s="31"/>
      <c r="CU159" s="31"/>
      <c r="CV159" s="31"/>
      <c r="CW159" s="31"/>
      <c r="CX159" s="31"/>
      <c r="CY159" s="31"/>
      <c r="CZ159" s="31"/>
      <c r="DA159" s="31"/>
      <c r="DB159" s="31"/>
      <c r="DC159" s="31"/>
      <c r="DD159" s="31"/>
      <c r="DE159" s="31"/>
      <c r="DF159" s="31"/>
      <c r="DG159" s="31"/>
      <c r="DH159" s="31"/>
      <c r="DI159" s="31"/>
      <c r="DJ159" s="31"/>
      <c r="DK159" s="31"/>
      <c r="DL159" s="31"/>
      <c r="DM159" s="31"/>
      <c r="DN159" s="31"/>
      <c r="DO159" s="31"/>
      <c r="DP159" s="31"/>
      <c r="DQ159" s="47"/>
      <c r="DR159" s="110"/>
      <c r="DS159" s="12"/>
      <c r="DT159" s="13"/>
    </row>
    <row r="160" spans="1:124" ht="28.35" customHeight="1">
      <c r="A160" s="52"/>
      <c r="C160" s="109"/>
      <c r="D160" s="46"/>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c r="BF160" s="191"/>
      <c r="BG160" s="191"/>
      <c r="BH160" s="191"/>
      <c r="BI160" s="191"/>
      <c r="BJ160" s="191"/>
      <c r="BK160" s="191"/>
      <c r="BL160" s="191"/>
      <c r="BM160" s="191"/>
      <c r="BN160" s="191"/>
      <c r="BO160" s="191"/>
      <c r="BP160" s="191"/>
      <c r="BQ160" s="191"/>
      <c r="BR160" s="191"/>
      <c r="BS160" s="191"/>
      <c r="BT160" s="191"/>
      <c r="BU160" s="191"/>
      <c r="BV160" s="191"/>
      <c r="BW160" s="191"/>
      <c r="BX160" s="191"/>
      <c r="BY160" s="89"/>
      <c r="BZ160" s="192" t="s">
        <v>1074</v>
      </c>
      <c r="CA160" s="192"/>
      <c r="CB160" s="192"/>
      <c r="CC160" s="192"/>
      <c r="CD160" s="192"/>
      <c r="CE160" s="192"/>
      <c r="CF160" s="192"/>
      <c r="CG160" s="192"/>
      <c r="CH160" s="192"/>
      <c r="CI160" s="192"/>
      <c r="CJ160" s="192"/>
      <c r="CK160" s="192"/>
      <c r="CL160" s="192"/>
      <c r="CM160" s="192"/>
      <c r="CN160" s="192"/>
      <c r="CO160" s="192"/>
      <c r="CP160" s="192"/>
      <c r="CQ160" s="192"/>
      <c r="CR160" s="192"/>
      <c r="CS160" s="192"/>
      <c r="CT160" s="192"/>
      <c r="CU160" s="192"/>
      <c r="CV160" s="192"/>
      <c r="CW160" s="192"/>
      <c r="CX160" s="192"/>
      <c r="CY160" s="192"/>
      <c r="CZ160" s="192"/>
      <c r="DA160" s="192"/>
      <c r="DB160" s="192"/>
      <c r="DC160" s="192"/>
      <c r="DD160" s="192"/>
      <c r="DE160" s="192"/>
      <c r="DF160" s="192"/>
      <c r="DG160" s="192"/>
      <c r="DH160" s="192"/>
      <c r="DI160" s="192"/>
      <c r="DJ160" s="31"/>
      <c r="DK160" s="189">
        <f>SUM(DK156,DK158)</f>
        <v>100</v>
      </c>
      <c r="DL160" s="190"/>
      <c r="DM160" s="190"/>
      <c r="DN160" s="190"/>
      <c r="DO160" s="190"/>
      <c r="DP160" s="190"/>
      <c r="DQ160" s="47"/>
      <c r="DR160" s="110"/>
      <c r="DS160" s="12"/>
      <c r="DT160" s="13"/>
    </row>
    <row r="161" spans="1:124" ht="5.0999999999999996" customHeight="1">
      <c r="A161" s="52"/>
      <c r="C161" s="109"/>
      <c r="D161" s="48"/>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50"/>
      <c r="DR161" s="110"/>
      <c r="DS161" s="12"/>
      <c r="DT161" s="13"/>
    </row>
    <row r="162" spans="1:124" s="5" customFormat="1" ht="6" customHeight="1" thickBot="1">
      <c r="A162" s="94"/>
      <c r="C162" s="111"/>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c r="AH162" s="112"/>
      <c r="AI162" s="112"/>
      <c r="AJ162" s="112"/>
      <c r="AK162" s="112"/>
      <c r="AL162" s="112"/>
      <c r="AM162" s="112"/>
      <c r="AN162" s="112"/>
      <c r="AO162" s="112"/>
      <c r="AP162" s="112"/>
      <c r="AQ162" s="112"/>
      <c r="AR162" s="112"/>
      <c r="AS162" s="112"/>
      <c r="AT162" s="112"/>
      <c r="AU162" s="112"/>
      <c r="AV162" s="112"/>
      <c r="AW162" s="112"/>
      <c r="AX162" s="112"/>
      <c r="AY162" s="112"/>
      <c r="AZ162" s="112"/>
      <c r="BA162" s="112"/>
      <c r="BB162" s="112"/>
      <c r="BC162" s="112"/>
      <c r="BD162" s="112"/>
      <c r="BE162" s="112"/>
      <c r="BF162" s="112"/>
      <c r="BG162" s="112"/>
      <c r="BH162" s="112"/>
      <c r="BI162" s="112"/>
      <c r="BJ162" s="112"/>
      <c r="BK162" s="112"/>
      <c r="BL162" s="112"/>
      <c r="BM162" s="112"/>
      <c r="BN162" s="112"/>
      <c r="BO162" s="112"/>
      <c r="BP162" s="112"/>
      <c r="BQ162" s="112"/>
      <c r="BR162" s="112"/>
      <c r="BS162" s="112"/>
      <c r="BT162" s="112"/>
      <c r="BU162" s="112"/>
      <c r="BV162" s="112"/>
      <c r="BW162" s="112"/>
      <c r="BX162" s="112"/>
      <c r="BY162" s="112"/>
      <c r="BZ162" s="112"/>
      <c r="CA162" s="112"/>
      <c r="CB162" s="112"/>
      <c r="CC162" s="112"/>
      <c r="CD162" s="112"/>
      <c r="CE162" s="112"/>
      <c r="CF162" s="112"/>
      <c r="CG162" s="112"/>
      <c r="CH162" s="112"/>
      <c r="CI162" s="112"/>
      <c r="CJ162" s="112"/>
      <c r="CK162" s="112"/>
      <c r="CL162" s="112"/>
      <c r="CM162" s="112"/>
      <c r="CN162" s="112"/>
      <c r="CO162" s="112"/>
      <c r="CP162" s="112"/>
      <c r="CQ162" s="112"/>
      <c r="CR162" s="112"/>
      <c r="CS162" s="112"/>
      <c r="CT162" s="112"/>
      <c r="CU162" s="112"/>
      <c r="CV162" s="112"/>
      <c r="CW162" s="112"/>
      <c r="CX162" s="112"/>
      <c r="CY162" s="112"/>
      <c r="CZ162" s="112"/>
      <c r="DA162" s="112"/>
      <c r="DB162" s="112"/>
      <c r="DC162" s="112"/>
      <c r="DD162" s="112"/>
      <c r="DE162" s="112"/>
      <c r="DF162" s="112"/>
      <c r="DG162" s="112"/>
      <c r="DH162" s="112"/>
      <c r="DI162" s="112"/>
      <c r="DJ162" s="112"/>
      <c r="DK162" s="112"/>
      <c r="DL162" s="112"/>
      <c r="DM162" s="112"/>
      <c r="DN162" s="112"/>
      <c r="DO162" s="112"/>
      <c r="DP162" s="112"/>
      <c r="DQ162" s="112"/>
      <c r="DR162" s="113"/>
      <c r="DS162" s="12"/>
      <c r="DT162" s="12"/>
    </row>
    <row r="163" spans="1:124" s="5" customFormat="1" ht="3.6" customHeight="1" thickTop="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row>
    <row r="164" spans="1:124" s="5" customFormat="1" ht="3.6"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row>
    <row r="165" spans="1:124" s="5" customFormat="1" ht="15" customHeight="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c r="CY165" s="12"/>
      <c r="CZ165" s="12"/>
      <c r="DA165" s="12"/>
      <c r="DB165" s="12"/>
      <c r="DC165" s="12"/>
      <c r="DD165" s="12"/>
      <c r="DE165" s="12"/>
      <c r="DF165" s="12"/>
      <c r="DG165" s="12"/>
      <c r="DH165" s="12"/>
      <c r="DI165" s="12"/>
      <c r="DJ165" s="12"/>
      <c r="DK165" s="12"/>
      <c r="DL165" s="12"/>
      <c r="DM165" s="12"/>
      <c r="DN165" s="12"/>
      <c r="DO165" s="12"/>
      <c r="DP165" s="12"/>
      <c r="DQ165" s="12"/>
      <c r="DR165" s="12"/>
      <c r="DS165" s="12"/>
    </row>
    <row r="166" spans="1:124" s="5" customFormat="1" ht="39.950000000000003" customHeight="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2"/>
      <c r="CY166" s="12"/>
      <c r="CZ166" s="12"/>
      <c r="DA166" s="12"/>
      <c r="DB166" s="12"/>
      <c r="DC166" s="12"/>
      <c r="DD166" s="12"/>
      <c r="DE166" s="12"/>
      <c r="DF166" s="12"/>
      <c r="DG166" s="12"/>
      <c r="DH166" s="12"/>
      <c r="DI166" s="12"/>
      <c r="DJ166" s="12"/>
      <c r="DK166" s="12"/>
      <c r="DL166" s="12"/>
      <c r="DM166" s="12"/>
      <c r="DN166" s="12"/>
      <c r="DO166" s="12"/>
      <c r="DP166" s="12"/>
      <c r="DQ166" s="12"/>
      <c r="DR166" s="12"/>
      <c r="DS166" s="12"/>
      <c r="DT166" s="12"/>
    </row>
    <row r="167" spans="1:124" s="5" customFormat="1" ht="5.0999999999999996" customHeight="1">
      <c r="B167" s="12"/>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2"/>
      <c r="DT167" s="12"/>
    </row>
    <row r="168" spans="1:124" ht="15" customHeight="1">
      <c r="A168" s="12"/>
      <c r="B168" s="18"/>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2"/>
      <c r="DT168" s="13"/>
    </row>
    <row r="169" spans="1:124" ht="5.0999999999999996" customHeight="1">
      <c r="A169" s="12"/>
      <c r="B169" s="18"/>
      <c r="C169" s="19"/>
      <c r="D169" s="19"/>
      <c r="E169" s="19"/>
      <c r="F169" s="43"/>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5"/>
      <c r="DP169" s="19"/>
      <c r="DQ169" s="19"/>
      <c r="DR169" s="19"/>
      <c r="DS169" s="12"/>
      <c r="DT169" s="13"/>
    </row>
    <row r="170" spans="1:124" ht="30" customHeight="1">
      <c r="A170" s="12"/>
      <c r="B170" s="18"/>
      <c r="C170" s="19"/>
      <c r="D170" s="19"/>
      <c r="E170" s="19"/>
      <c r="F170" s="46"/>
      <c r="G170" s="186" t="s">
        <v>1075</v>
      </c>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186"/>
      <c r="AQ170" s="42"/>
      <c r="AR170" s="42"/>
      <c r="AS170" s="186" t="s">
        <v>1076</v>
      </c>
      <c r="AT170" s="186"/>
      <c r="AU170" s="186"/>
      <c r="AV170" s="186"/>
      <c r="AW170" s="186"/>
      <c r="AX170" s="186"/>
      <c r="AY170" s="186"/>
      <c r="AZ170" s="186"/>
      <c r="BA170" s="186"/>
      <c r="BB170" s="186"/>
      <c r="BC170" s="186"/>
      <c r="BD170" s="186"/>
      <c r="BE170" s="186"/>
      <c r="BF170" s="186"/>
      <c r="BG170" s="186"/>
      <c r="BH170" s="186"/>
      <c r="BI170" s="186"/>
      <c r="BJ170" s="186"/>
      <c r="BK170" s="186"/>
      <c r="BL170" s="186"/>
      <c r="BM170" s="186"/>
      <c r="BN170" s="186"/>
      <c r="BO170" s="186"/>
      <c r="BP170" s="186"/>
      <c r="BQ170" s="186"/>
      <c r="BR170" s="186"/>
      <c r="BS170" s="186"/>
      <c r="BT170" s="186"/>
      <c r="BU170" s="186"/>
      <c r="BV170" s="186"/>
      <c r="BW170" s="186"/>
      <c r="BX170" s="186"/>
      <c r="BY170" s="186"/>
      <c r="BZ170" s="186"/>
      <c r="CA170" s="186"/>
      <c r="CB170" s="42"/>
      <c r="CC170" s="186" t="s">
        <v>1077</v>
      </c>
      <c r="CD170" s="186"/>
      <c r="CE170" s="186"/>
      <c r="CF170" s="186"/>
      <c r="CG170" s="186"/>
      <c r="CH170" s="186"/>
      <c r="CI170" s="186"/>
      <c r="CJ170" s="186"/>
      <c r="CK170" s="186"/>
      <c r="CL170" s="186"/>
      <c r="CM170" s="186"/>
      <c r="CN170" s="186"/>
      <c r="CO170" s="186"/>
      <c r="CP170" s="186"/>
      <c r="CQ170" s="186"/>
      <c r="CR170" s="186"/>
      <c r="CS170" s="186"/>
      <c r="CT170" s="186"/>
      <c r="CU170" s="186"/>
      <c r="CV170" s="186"/>
      <c r="CW170" s="186"/>
      <c r="CX170" s="186"/>
      <c r="CY170" s="186"/>
      <c r="CZ170" s="186"/>
      <c r="DA170" s="186"/>
      <c r="DB170" s="186"/>
      <c r="DC170" s="186"/>
      <c r="DD170" s="186"/>
      <c r="DE170" s="186"/>
      <c r="DF170" s="186"/>
      <c r="DG170" s="186"/>
      <c r="DH170" s="186"/>
      <c r="DI170" s="186"/>
      <c r="DJ170" s="186"/>
      <c r="DK170" s="186"/>
      <c r="DL170" s="186"/>
      <c r="DM170" s="186"/>
      <c r="DN170" s="186"/>
      <c r="DO170" s="47"/>
      <c r="DP170" s="19"/>
      <c r="DQ170" s="19"/>
      <c r="DR170" s="19"/>
      <c r="DS170" s="12"/>
      <c r="DT170" s="13"/>
    </row>
    <row r="171" spans="1:124" ht="5.0999999999999996" customHeight="1">
      <c r="A171" s="12"/>
      <c r="B171" s="18"/>
      <c r="C171" s="19"/>
      <c r="D171" s="19"/>
      <c r="E171" s="19"/>
      <c r="F171" s="46"/>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c r="BX171" s="31"/>
      <c r="BY171" s="31"/>
      <c r="BZ171" s="31"/>
      <c r="CA171" s="31"/>
      <c r="CB171" s="31"/>
      <c r="CC171" s="31"/>
      <c r="CD171" s="31"/>
      <c r="CE171" s="31"/>
      <c r="CF171" s="31"/>
      <c r="CG171" s="31"/>
      <c r="CH171" s="31"/>
      <c r="CI171" s="31"/>
      <c r="CJ171" s="31"/>
      <c r="CK171" s="31"/>
      <c r="CL171" s="31"/>
      <c r="CM171" s="31"/>
      <c r="CN171" s="31"/>
      <c r="CO171" s="31"/>
      <c r="CP171" s="31"/>
      <c r="CQ171" s="31"/>
      <c r="CR171" s="31"/>
      <c r="CS171" s="31"/>
      <c r="CT171" s="31"/>
      <c r="CU171" s="31"/>
      <c r="CV171" s="31"/>
      <c r="CW171" s="31"/>
      <c r="CX171" s="31"/>
      <c r="CY171" s="31"/>
      <c r="CZ171" s="31"/>
      <c r="DA171" s="31"/>
      <c r="DB171" s="31"/>
      <c r="DC171" s="31"/>
      <c r="DD171" s="31"/>
      <c r="DE171" s="31"/>
      <c r="DF171" s="31"/>
      <c r="DG171" s="31"/>
      <c r="DH171" s="31"/>
      <c r="DI171" s="31"/>
      <c r="DJ171" s="31"/>
      <c r="DK171" s="31"/>
      <c r="DL171" s="31"/>
      <c r="DM171" s="31"/>
      <c r="DN171" s="31"/>
      <c r="DO171" s="47"/>
      <c r="DP171" s="19"/>
      <c r="DQ171" s="19"/>
      <c r="DR171" s="19"/>
      <c r="DS171" s="12"/>
      <c r="DT171" s="13"/>
    </row>
    <row r="172" spans="1:124" ht="30" customHeight="1">
      <c r="A172" s="12"/>
      <c r="B172" s="18"/>
      <c r="C172" s="19"/>
      <c r="D172" s="19"/>
      <c r="E172" s="19"/>
      <c r="F172" s="46"/>
      <c r="G172" s="201" t="s">
        <v>1125</v>
      </c>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42"/>
      <c r="AR172" s="42"/>
      <c r="AS172" s="201" t="s">
        <v>1126</v>
      </c>
      <c r="AT172" s="201"/>
      <c r="AU172" s="201"/>
      <c r="AV172" s="201"/>
      <c r="AW172" s="201"/>
      <c r="AX172" s="201"/>
      <c r="AY172" s="201"/>
      <c r="AZ172" s="201"/>
      <c r="BA172" s="201"/>
      <c r="BB172" s="201"/>
      <c r="BC172" s="201"/>
      <c r="BD172" s="201"/>
      <c r="BE172" s="201"/>
      <c r="BF172" s="201"/>
      <c r="BG172" s="201"/>
      <c r="BH172" s="201"/>
      <c r="BI172" s="201"/>
      <c r="BJ172" s="201"/>
      <c r="BK172" s="201"/>
      <c r="BL172" s="201"/>
      <c r="BM172" s="201"/>
      <c r="BN172" s="201"/>
      <c r="BO172" s="201"/>
      <c r="BP172" s="201"/>
      <c r="BQ172" s="201"/>
      <c r="BR172" s="201"/>
      <c r="BS172" s="201"/>
      <c r="BT172" s="201"/>
      <c r="BU172" s="201"/>
      <c r="BV172" s="201"/>
      <c r="BW172" s="201"/>
      <c r="BX172" s="201"/>
      <c r="BY172" s="201"/>
      <c r="BZ172" s="201"/>
      <c r="CA172" s="201"/>
      <c r="CB172" s="42"/>
      <c r="CC172" s="188" t="s">
        <v>1079</v>
      </c>
      <c r="CD172" s="188"/>
      <c r="CE172" s="188"/>
      <c r="CF172" s="188"/>
      <c r="CG172" s="188"/>
      <c r="CH172" s="188"/>
      <c r="CI172" s="188"/>
      <c r="CJ172" s="188"/>
      <c r="CK172" s="188"/>
      <c r="CL172" s="188"/>
      <c r="CM172" s="188"/>
      <c r="CN172" s="188"/>
      <c r="CO172" s="188"/>
      <c r="CP172" s="188"/>
      <c r="CQ172" s="188"/>
      <c r="CR172" s="188"/>
      <c r="CS172" s="188"/>
      <c r="CT172" s="188"/>
      <c r="CU172" s="188"/>
      <c r="CV172" s="188"/>
      <c r="CW172" s="188"/>
      <c r="CX172" s="188"/>
      <c r="CY172" s="188"/>
      <c r="CZ172" s="188"/>
      <c r="DA172" s="188"/>
      <c r="DB172" s="188"/>
      <c r="DC172" s="188"/>
      <c r="DD172" s="188"/>
      <c r="DE172" s="188"/>
      <c r="DF172" s="188"/>
      <c r="DG172" s="188"/>
      <c r="DH172" s="188"/>
      <c r="DI172" s="188"/>
      <c r="DJ172" s="188"/>
      <c r="DK172" s="188"/>
      <c r="DL172" s="188"/>
      <c r="DM172" s="188"/>
      <c r="DN172" s="188"/>
      <c r="DO172" s="47"/>
      <c r="DP172" s="19"/>
      <c r="DQ172" s="19"/>
      <c r="DR172" s="19"/>
      <c r="DS172" s="12"/>
      <c r="DT172" s="13"/>
    </row>
    <row r="173" spans="1:124" ht="5.0999999999999996" customHeight="1">
      <c r="A173" s="12"/>
      <c r="B173" s="18"/>
      <c r="C173" s="19"/>
      <c r="D173" s="19"/>
      <c r="E173" s="19"/>
      <c r="F173" s="46"/>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1"/>
      <c r="BZ173" s="31"/>
      <c r="CA173" s="31"/>
      <c r="CB173" s="31"/>
      <c r="CC173" s="31"/>
      <c r="CD173" s="68"/>
      <c r="CE173" s="68"/>
      <c r="CF173" s="68"/>
      <c r="CG173" s="68"/>
      <c r="CH173" s="68"/>
      <c r="CI173" s="68"/>
      <c r="CJ173" s="68"/>
      <c r="CK173" s="68"/>
      <c r="CL173" s="68"/>
      <c r="CM173" s="68"/>
      <c r="CN173" s="68"/>
      <c r="CO173" s="68"/>
      <c r="CP173" s="68"/>
      <c r="CQ173" s="68"/>
      <c r="CR173" s="68"/>
      <c r="CS173" s="68"/>
      <c r="CT173" s="68"/>
      <c r="CU173" s="68"/>
      <c r="CV173" s="68"/>
      <c r="CW173" s="68"/>
      <c r="CX173" s="68"/>
      <c r="CY173" s="68"/>
      <c r="CZ173" s="68"/>
      <c r="DA173" s="68"/>
      <c r="DB173" s="68"/>
      <c r="DC173" s="68"/>
      <c r="DD173" s="68"/>
      <c r="DE173" s="68"/>
      <c r="DF173" s="68"/>
      <c r="DG173" s="68"/>
      <c r="DH173" s="68"/>
      <c r="DI173" s="68"/>
      <c r="DJ173" s="68"/>
      <c r="DK173" s="68"/>
      <c r="DL173" s="68"/>
      <c r="DM173" s="68"/>
      <c r="DN173" s="68"/>
      <c r="DO173" s="47"/>
      <c r="DP173" s="19"/>
      <c r="DQ173" s="19"/>
      <c r="DR173" s="19"/>
      <c r="DS173" s="12"/>
      <c r="DT173" s="13"/>
    </row>
    <row r="174" spans="1:124" ht="30" customHeight="1">
      <c r="A174" s="12"/>
      <c r="B174" s="18"/>
      <c r="C174" s="19"/>
      <c r="D174" s="19"/>
      <c r="E174" s="19"/>
      <c r="F174" s="46"/>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42"/>
      <c r="AR174" s="42"/>
      <c r="AS174" s="201"/>
      <c r="AT174" s="201"/>
      <c r="AU174" s="201"/>
      <c r="AV174" s="201"/>
      <c r="AW174" s="201"/>
      <c r="AX174" s="201"/>
      <c r="AY174" s="201"/>
      <c r="AZ174" s="201"/>
      <c r="BA174" s="201"/>
      <c r="BB174" s="201"/>
      <c r="BC174" s="201"/>
      <c r="BD174" s="201"/>
      <c r="BE174" s="201"/>
      <c r="BF174" s="201"/>
      <c r="BG174" s="201"/>
      <c r="BH174" s="201"/>
      <c r="BI174" s="201"/>
      <c r="BJ174" s="201"/>
      <c r="BK174" s="201"/>
      <c r="BL174" s="201"/>
      <c r="BM174" s="201"/>
      <c r="BN174" s="201"/>
      <c r="BO174" s="201"/>
      <c r="BP174" s="201"/>
      <c r="BQ174" s="201"/>
      <c r="BR174" s="201"/>
      <c r="BS174" s="201"/>
      <c r="BT174" s="201"/>
      <c r="BU174" s="201"/>
      <c r="BV174" s="201"/>
      <c r="BW174" s="201"/>
      <c r="BX174" s="201"/>
      <c r="BY174" s="201"/>
      <c r="BZ174" s="201"/>
      <c r="CA174" s="201"/>
      <c r="CB174" s="42"/>
      <c r="CC174" s="188" t="s">
        <v>1080</v>
      </c>
      <c r="CD174" s="188"/>
      <c r="CE174" s="188"/>
      <c r="CF174" s="188"/>
      <c r="CG174" s="188"/>
      <c r="CH174" s="188"/>
      <c r="CI174" s="188"/>
      <c r="CJ174" s="188"/>
      <c r="CK174" s="188"/>
      <c r="CL174" s="188"/>
      <c r="CM174" s="188"/>
      <c r="CN174" s="188"/>
      <c r="CO174" s="188"/>
      <c r="CP174" s="188"/>
      <c r="CQ174" s="188"/>
      <c r="CR174" s="188"/>
      <c r="CS174" s="188"/>
      <c r="CT174" s="188"/>
      <c r="CU174" s="188"/>
      <c r="CV174" s="188"/>
      <c r="CW174" s="188"/>
      <c r="CX174" s="188"/>
      <c r="CY174" s="188"/>
      <c r="CZ174" s="188"/>
      <c r="DA174" s="188"/>
      <c r="DB174" s="188"/>
      <c r="DC174" s="188"/>
      <c r="DD174" s="188"/>
      <c r="DE174" s="188"/>
      <c r="DF174" s="188"/>
      <c r="DG174" s="188"/>
      <c r="DH174" s="188"/>
      <c r="DI174" s="188"/>
      <c r="DJ174" s="188"/>
      <c r="DK174" s="188"/>
      <c r="DL174" s="188"/>
      <c r="DM174" s="188"/>
      <c r="DN174" s="188"/>
      <c r="DO174" s="47"/>
      <c r="DP174" s="19"/>
      <c r="DQ174" s="19"/>
      <c r="DR174" s="19"/>
      <c r="DS174" s="12"/>
      <c r="DT174" s="13"/>
    </row>
    <row r="175" spans="1:124" ht="5.0999999999999996" customHeight="1">
      <c r="A175" s="12"/>
      <c r="B175" s="18"/>
      <c r="C175" s="19"/>
      <c r="D175" s="19"/>
      <c r="E175" s="19"/>
      <c r="F175" s="46"/>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1"/>
      <c r="BZ175" s="31"/>
      <c r="CA175" s="31"/>
      <c r="CB175" s="31"/>
      <c r="CC175" s="31"/>
      <c r="CD175" s="68"/>
      <c r="CE175" s="68"/>
      <c r="CF175" s="68"/>
      <c r="CG175" s="68"/>
      <c r="CH175" s="68"/>
      <c r="CI175" s="68"/>
      <c r="CJ175" s="68"/>
      <c r="CK175" s="68"/>
      <c r="CL175" s="68"/>
      <c r="CM175" s="68"/>
      <c r="CN175" s="68"/>
      <c r="CO175" s="68"/>
      <c r="CP175" s="68"/>
      <c r="CQ175" s="68"/>
      <c r="CR175" s="68"/>
      <c r="CS175" s="68"/>
      <c r="CT175" s="68"/>
      <c r="CU175" s="68"/>
      <c r="CV175" s="68"/>
      <c r="CW175" s="68"/>
      <c r="CX175" s="68"/>
      <c r="CY175" s="68"/>
      <c r="CZ175" s="68"/>
      <c r="DA175" s="68"/>
      <c r="DB175" s="68"/>
      <c r="DC175" s="68"/>
      <c r="DD175" s="68"/>
      <c r="DE175" s="68"/>
      <c r="DF175" s="68"/>
      <c r="DG175" s="68"/>
      <c r="DH175" s="68"/>
      <c r="DI175" s="68"/>
      <c r="DJ175" s="68"/>
      <c r="DK175" s="68"/>
      <c r="DL175" s="68"/>
      <c r="DM175" s="68"/>
      <c r="DN175" s="68"/>
      <c r="DO175" s="47"/>
      <c r="DP175" s="19"/>
      <c r="DQ175" s="19"/>
      <c r="DR175" s="19"/>
      <c r="DS175" s="12"/>
      <c r="DT175" s="13"/>
    </row>
    <row r="176" spans="1:124" ht="30" customHeight="1">
      <c r="A176" s="12"/>
      <c r="B176" s="18"/>
      <c r="C176" s="19"/>
      <c r="D176" s="19"/>
      <c r="E176" s="19"/>
      <c r="F176" s="46"/>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42"/>
      <c r="AR176" s="42"/>
      <c r="AS176" s="201"/>
      <c r="AT176" s="201"/>
      <c r="AU176" s="201"/>
      <c r="AV176" s="201"/>
      <c r="AW176" s="201"/>
      <c r="AX176" s="201"/>
      <c r="AY176" s="201"/>
      <c r="AZ176" s="201"/>
      <c r="BA176" s="201"/>
      <c r="BB176" s="201"/>
      <c r="BC176" s="201"/>
      <c r="BD176" s="201"/>
      <c r="BE176" s="201"/>
      <c r="BF176" s="201"/>
      <c r="BG176" s="201"/>
      <c r="BH176" s="201"/>
      <c r="BI176" s="201"/>
      <c r="BJ176" s="201"/>
      <c r="BK176" s="201"/>
      <c r="BL176" s="201"/>
      <c r="BM176" s="201"/>
      <c r="BN176" s="201"/>
      <c r="BO176" s="201"/>
      <c r="BP176" s="201"/>
      <c r="BQ176" s="201"/>
      <c r="BR176" s="201"/>
      <c r="BS176" s="201"/>
      <c r="BT176" s="201"/>
      <c r="BU176" s="201"/>
      <c r="BV176" s="201"/>
      <c r="BW176" s="201"/>
      <c r="BX176" s="201"/>
      <c r="BY176" s="201"/>
      <c r="BZ176" s="201"/>
      <c r="CA176" s="201"/>
      <c r="CB176" s="42"/>
      <c r="CC176" s="188" t="s">
        <v>1081</v>
      </c>
      <c r="CD176" s="188"/>
      <c r="CE176" s="188"/>
      <c r="CF176" s="188"/>
      <c r="CG176" s="188"/>
      <c r="CH176" s="188"/>
      <c r="CI176" s="188"/>
      <c r="CJ176" s="188"/>
      <c r="CK176" s="188"/>
      <c r="CL176" s="188"/>
      <c r="CM176" s="188"/>
      <c r="CN176" s="188"/>
      <c r="CO176" s="188"/>
      <c r="CP176" s="188"/>
      <c r="CQ176" s="188"/>
      <c r="CR176" s="188"/>
      <c r="CS176" s="188"/>
      <c r="CT176" s="188"/>
      <c r="CU176" s="188"/>
      <c r="CV176" s="188"/>
      <c r="CW176" s="188"/>
      <c r="CX176" s="188"/>
      <c r="CY176" s="188"/>
      <c r="CZ176" s="188"/>
      <c r="DA176" s="188"/>
      <c r="DB176" s="188"/>
      <c r="DC176" s="188"/>
      <c r="DD176" s="188"/>
      <c r="DE176" s="188"/>
      <c r="DF176" s="188"/>
      <c r="DG176" s="188"/>
      <c r="DH176" s="188"/>
      <c r="DI176" s="188"/>
      <c r="DJ176" s="188"/>
      <c r="DK176" s="188"/>
      <c r="DL176" s="188"/>
      <c r="DM176" s="188"/>
      <c r="DN176" s="188"/>
      <c r="DO176" s="47"/>
      <c r="DP176" s="19"/>
      <c r="DQ176" s="19"/>
      <c r="DR176" s="19"/>
      <c r="DS176" s="12"/>
      <c r="DT176" s="13"/>
    </row>
    <row r="177" spans="1:124" ht="5.0999999999999996" customHeight="1">
      <c r="A177" s="12"/>
      <c r="B177" s="18"/>
      <c r="C177" s="19"/>
      <c r="D177" s="19"/>
      <c r="E177" s="19"/>
      <c r="F177" s="48"/>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50"/>
      <c r="DP177" s="19"/>
      <c r="DQ177" s="19"/>
      <c r="DR177" s="19"/>
      <c r="DS177" s="12"/>
      <c r="DT177" s="13"/>
    </row>
    <row r="178" spans="1:124" ht="15" customHeight="1">
      <c r="A178" s="12"/>
      <c r="B178" s="18"/>
      <c r="C178" s="19"/>
      <c r="D178" s="19"/>
      <c r="E178" s="19"/>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c r="BT178" s="71"/>
      <c r="BU178" s="71"/>
      <c r="BV178" s="71"/>
      <c r="BW178" s="71"/>
      <c r="BX178" s="71"/>
      <c r="BY178" s="71"/>
      <c r="BZ178" s="71"/>
      <c r="CA178" s="71"/>
      <c r="CB178" s="71"/>
      <c r="CC178" s="71"/>
      <c r="CD178" s="71"/>
      <c r="CE178" s="71"/>
      <c r="CF178" s="71"/>
      <c r="CG178" s="71"/>
      <c r="CH178" s="71"/>
      <c r="CI178" s="71"/>
      <c r="CJ178" s="71"/>
      <c r="CK178" s="71"/>
      <c r="CL178" s="71"/>
      <c r="CM178" s="71"/>
      <c r="CN178" s="71"/>
      <c r="CO178" s="71"/>
      <c r="CP178" s="71"/>
      <c r="CQ178" s="71"/>
      <c r="CR178" s="71"/>
      <c r="CS178" s="71"/>
      <c r="CT178" s="71"/>
      <c r="CU178" s="71"/>
      <c r="CV178" s="71"/>
      <c r="CW178" s="71"/>
      <c r="CX178" s="71"/>
      <c r="CY178" s="71"/>
      <c r="CZ178" s="71"/>
      <c r="DA178" s="71"/>
      <c r="DB178" s="71"/>
      <c r="DC178" s="71"/>
      <c r="DD178" s="71"/>
      <c r="DE178" s="71"/>
      <c r="DF178" s="71"/>
      <c r="DG178" s="71"/>
      <c r="DH178" s="71"/>
      <c r="DI178" s="71"/>
      <c r="DJ178" s="71"/>
      <c r="DK178" s="71"/>
      <c r="DL178" s="71"/>
      <c r="DM178" s="71"/>
      <c r="DN178" s="71"/>
      <c r="DO178" s="71"/>
      <c r="DP178" s="19"/>
      <c r="DQ178" s="19"/>
      <c r="DR178" s="19"/>
      <c r="DS178" s="12"/>
      <c r="DT178" s="13"/>
    </row>
    <row r="179" spans="1:124" ht="5.0999999999999996" customHeight="1">
      <c r="DS179" s="12"/>
    </row>
    <row r="180" spans="1:124" ht="5.0999999999999996" customHeight="1">
      <c r="DS180" s="12"/>
    </row>
    <row r="181" spans="1:124" s="5" customFormat="1" ht="15" customHeight="1">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2"/>
      <c r="CY181" s="12"/>
      <c r="CZ181" s="12"/>
      <c r="DA181" s="12"/>
      <c r="DB181" s="12"/>
      <c r="DC181" s="12"/>
      <c r="DD181" s="12"/>
      <c r="DE181" s="12"/>
      <c r="DF181" s="12"/>
      <c r="DG181" s="12"/>
      <c r="DH181" s="12"/>
      <c r="DI181" s="12"/>
      <c r="DJ181" s="12"/>
      <c r="DK181" s="12"/>
      <c r="DL181" s="12"/>
      <c r="DM181" s="12"/>
      <c r="DN181" s="12"/>
      <c r="DO181" s="12"/>
      <c r="DP181" s="12"/>
      <c r="DQ181" s="12"/>
      <c r="DR181" s="12"/>
      <c r="DS181" s="12"/>
      <c r="DT181" s="12"/>
    </row>
    <row r="182" spans="1:124" s="5" customFormat="1" ht="39.950000000000003" customHeight="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c r="CY182" s="12"/>
      <c r="CZ182" s="12"/>
      <c r="DA182" s="12"/>
      <c r="DB182" s="12"/>
      <c r="DC182" s="12"/>
      <c r="DD182" s="12"/>
      <c r="DE182" s="12"/>
      <c r="DF182" s="12"/>
      <c r="DG182" s="12"/>
      <c r="DH182" s="12"/>
      <c r="DI182" s="12"/>
      <c r="DJ182" s="12"/>
      <c r="DK182" s="12"/>
      <c r="DL182" s="12"/>
      <c r="DM182" s="12"/>
      <c r="DN182" s="12"/>
      <c r="DO182" s="12"/>
      <c r="DP182" s="12"/>
      <c r="DQ182" s="12"/>
      <c r="DR182" s="12"/>
      <c r="DS182" s="12"/>
      <c r="DT182" s="12"/>
    </row>
    <row r="183" spans="1:124" s="5" customFormat="1" ht="5.0999999999999996" customHeight="1">
      <c r="B183" s="12"/>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2"/>
      <c r="DT183" s="12"/>
    </row>
    <row r="184" spans="1:124" ht="5.0999999999999996" customHeight="1">
      <c r="A184" s="12"/>
      <c r="B184" s="12"/>
      <c r="C184" s="19"/>
      <c r="D184" s="19"/>
      <c r="E184" s="19"/>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c r="CH184" s="51"/>
      <c r="CI184" s="51"/>
      <c r="CJ184" s="51"/>
      <c r="CK184" s="51"/>
      <c r="CL184" s="51"/>
      <c r="CM184" s="51"/>
      <c r="CN184" s="51"/>
      <c r="CO184" s="51"/>
      <c r="CP184" s="51"/>
      <c r="CQ184" s="51"/>
      <c r="CR184" s="51"/>
      <c r="CS184" s="51"/>
      <c r="CT184" s="51"/>
      <c r="CU184" s="51"/>
      <c r="CV184" s="51"/>
      <c r="CW184" s="51"/>
      <c r="CX184" s="51"/>
      <c r="CY184" s="51"/>
      <c r="CZ184" s="51"/>
      <c r="DA184" s="51"/>
      <c r="DB184" s="51"/>
      <c r="DC184" s="51"/>
      <c r="DD184" s="51"/>
      <c r="DE184" s="51"/>
      <c r="DF184" s="51"/>
      <c r="DG184" s="51"/>
      <c r="DH184" s="51"/>
      <c r="DI184" s="51"/>
      <c r="DJ184" s="51"/>
      <c r="DK184" s="51"/>
      <c r="DL184" s="51"/>
      <c r="DM184" s="51"/>
      <c r="DN184" s="51"/>
      <c r="DO184" s="51"/>
      <c r="DP184" s="19"/>
      <c r="DQ184" s="19"/>
      <c r="DR184" s="19"/>
    </row>
    <row r="185" spans="1:124" ht="24.95" customHeight="1">
      <c r="A185" s="116"/>
      <c r="B185" s="12"/>
      <c r="C185" s="19"/>
      <c r="D185" s="19"/>
      <c r="E185" s="19"/>
      <c r="F185" s="195" t="s">
        <v>1127</v>
      </c>
      <c r="G185" s="195"/>
      <c r="H185" s="195"/>
      <c r="I185" s="195"/>
      <c r="J185" s="195"/>
      <c r="K185" s="195"/>
      <c r="L185" s="195"/>
      <c r="M185" s="195"/>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95"/>
      <c r="AM185" s="195"/>
      <c r="AN185" s="195"/>
      <c r="AO185" s="195"/>
      <c r="AP185" s="195"/>
      <c r="AQ185" s="195"/>
      <c r="AR185" s="195"/>
      <c r="AS185" s="195"/>
      <c r="AT185" s="195"/>
      <c r="AU185" s="195"/>
      <c r="AV185" s="195"/>
      <c r="AW185" s="195"/>
      <c r="AX185" s="195"/>
      <c r="AY185" s="195"/>
      <c r="AZ185" s="195"/>
      <c r="BA185" s="195"/>
      <c r="BB185" s="195"/>
      <c r="BC185" s="195"/>
      <c r="BD185" s="195"/>
      <c r="BE185" s="195"/>
      <c r="BF185" s="195"/>
      <c r="BG185" s="195"/>
      <c r="BH185" s="195"/>
      <c r="BI185" s="195"/>
      <c r="BJ185" s="195"/>
      <c r="BK185" s="195"/>
      <c r="BL185" s="195"/>
      <c r="BM185" s="195"/>
      <c r="BN185" s="195"/>
      <c r="BO185" s="195"/>
      <c r="BP185" s="195"/>
      <c r="BQ185" s="195"/>
      <c r="BR185" s="195"/>
      <c r="BS185" s="195"/>
      <c r="BT185" s="195"/>
      <c r="BU185" s="195"/>
      <c r="BV185" s="195"/>
      <c r="BW185" s="195"/>
      <c r="BX185" s="195"/>
      <c r="BY185" s="195"/>
      <c r="BZ185" s="195"/>
      <c r="CA185" s="195"/>
      <c r="CB185" s="195"/>
      <c r="CC185" s="195"/>
      <c r="CD185" s="195"/>
      <c r="CE185" s="195"/>
      <c r="CF185" s="195"/>
      <c r="CG185" s="195"/>
      <c r="CH185" s="195"/>
      <c r="CI185" s="195"/>
      <c r="CJ185" s="195"/>
      <c r="CK185" s="195"/>
      <c r="CL185" s="195"/>
      <c r="CM185" s="195"/>
      <c r="CN185" s="195"/>
      <c r="CO185" s="195"/>
      <c r="CP185" s="195"/>
      <c r="CQ185" s="195"/>
      <c r="CR185" s="195"/>
      <c r="CS185" s="195"/>
      <c r="CT185" s="195"/>
      <c r="CU185" s="195"/>
      <c r="CV185" s="195"/>
      <c r="CW185" s="195"/>
      <c r="CX185" s="195"/>
      <c r="CY185" s="195"/>
      <c r="CZ185" s="195"/>
      <c r="DA185" s="195"/>
      <c r="DB185" s="195"/>
      <c r="DC185" s="195"/>
      <c r="DD185" s="195"/>
      <c r="DE185" s="195"/>
      <c r="DF185" s="195"/>
      <c r="DG185" s="195"/>
      <c r="DH185" s="195"/>
      <c r="DI185" s="195"/>
      <c r="DJ185" s="195"/>
      <c r="DK185" s="195"/>
      <c r="DL185" s="195"/>
      <c r="DM185" s="195"/>
      <c r="DN185" s="195"/>
      <c r="DO185" s="195"/>
      <c r="DP185" s="19"/>
      <c r="DQ185" s="19"/>
      <c r="DR185" s="19"/>
    </row>
    <row r="186" spans="1:124" ht="5.0999999999999996" customHeight="1">
      <c r="A186" s="116"/>
      <c r="B186" s="12"/>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19"/>
      <c r="DA186" s="19"/>
      <c r="DB186" s="19"/>
      <c r="DC186" s="19"/>
      <c r="DD186" s="19"/>
      <c r="DE186" s="19"/>
      <c r="DF186" s="19"/>
      <c r="DG186" s="19"/>
      <c r="DH186" s="19"/>
      <c r="DI186" s="19"/>
      <c r="DJ186" s="19"/>
      <c r="DK186" s="19"/>
      <c r="DL186" s="19"/>
      <c r="DM186" s="19"/>
      <c r="DN186" s="19"/>
      <c r="DO186" s="19"/>
      <c r="DP186" s="19"/>
      <c r="DQ186" s="19"/>
      <c r="DR186" s="19"/>
      <c r="DS186" s="12"/>
      <c r="DT186" s="13"/>
    </row>
    <row r="187" spans="1:124" ht="24.95" customHeight="1">
      <c r="A187" s="116"/>
      <c r="B187" s="12"/>
      <c r="C187" s="19"/>
      <c r="D187" s="19"/>
      <c r="E187" s="19"/>
      <c r="F187" s="196" t="s">
        <v>1128</v>
      </c>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197"/>
      <c r="BG187" s="197"/>
      <c r="BH187" s="197"/>
      <c r="BI187" s="197"/>
      <c r="BJ187" s="197"/>
      <c r="BK187" s="197"/>
      <c r="BL187" s="197"/>
      <c r="BM187" s="197"/>
      <c r="BN187" s="197"/>
      <c r="BO187" s="197"/>
      <c r="BP187" s="197"/>
      <c r="BQ187" s="197"/>
      <c r="BR187" s="197"/>
      <c r="BS187" s="197"/>
      <c r="BT187" s="197"/>
      <c r="BU187" s="197"/>
      <c r="BV187" s="197"/>
      <c r="BW187" s="197"/>
      <c r="BX187" s="197"/>
      <c r="BY187" s="197"/>
      <c r="BZ187" s="197"/>
      <c r="CA187" s="197"/>
      <c r="CB187" s="197"/>
      <c r="CC187" s="197"/>
      <c r="CD187" s="197"/>
      <c r="CE187" s="197"/>
      <c r="CF187" s="197"/>
      <c r="CG187" s="197"/>
      <c r="CH187" s="197"/>
      <c r="CI187" s="197"/>
      <c r="CJ187" s="197"/>
      <c r="CK187" s="197"/>
      <c r="CL187" s="197"/>
      <c r="CM187" s="197"/>
      <c r="CN187" s="197"/>
      <c r="CO187" s="197"/>
      <c r="CP187" s="197"/>
      <c r="CQ187" s="197"/>
      <c r="CR187" s="197"/>
      <c r="CS187" s="197"/>
      <c r="CT187" s="197"/>
      <c r="CU187" s="197"/>
      <c r="CV187" s="197"/>
      <c r="CW187" s="197"/>
      <c r="CX187" s="197"/>
      <c r="CY187" s="197"/>
      <c r="CZ187" s="197"/>
      <c r="DA187" s="197"/>
      <c r="DB187" s="197"/>
      <c r="DC187" s="197"/>
      <c r="DD187" s="197"/>
      <c r="DE187" s="197"/>
      <c r="DF187" s="197"/>
      <c r="DG187" s="197"/>
      <c r="DH187" s="197"/>
      <c r="DI187" s="197"/>
      <c r="DJ187" s="197"/>
      <c r="DK187" s="197"/>
      <c r="DL187" s="197"/>
      <c r="DM187" s="197"/>
      <c r="DN187" s="197"/>
      <c r="DO187" s="198"/>
      <c r="DP187" s="19"/>
      <c r="DQ187" s="19"/>
      <c r="DR187" s="19"/>
      <c r="DS187" s="12"/>
      <c r="DT187" s="13"/>
    </row>
    <row r="188" spans="1:124" ht="5.0999999999999996" customHeight="1">
      <c r="A188" s="12"/>
      <c r="B188" s="18"/>
      <c r="C188" s="19"/>
      <c r="D188" s="19"/>
      <c r="E188" s="19"/>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c r="CH188" s="51"/>
      <c r="CI188" s="51"/>
      <c r="CJ188" s="51"/>
      <c r="CK188" s="51"/>
      <c r="CL188" s="51"/>
      <c r="CM188" s="51"/>
      <c r="CN188" s="51"/>
      <c r="CO188" s="51"/>
      <c r="CP188" s="51"/>
      <c r="CQ188" s="51"/>
      <c r="CR188" s="51"/>
      <c r="CS188" s="51"/>
      <c r="CT188" s="51"/>
      <c r="CU188" s="51"/>
      <c r="CV188" s="51"/>
      <c r="CW188" s="51"/>
      <c r="CX188" s="51"/>
      <c r="CY188" s="51"/>
      <c r="CZ188" s="51"/>
      <c r="DA188" s="51"/>
      <c r="DB188" s="51"/>
      <c r="DC188" s="51"/>
      <c r="DD188" s="51"/>
      <c r="DE188" s="51"/>
      <c r="DF188" s="51"/>
      <c r="DG188" s="51"/>
      <c r="DH188" s="51"/>
      <c r="DI188" s="51"/>
      <c r="DJ188" s="51"/>
      <c r="DK188" s="51"/>
      <c r="DL188" s="51"/>
      <c r="DM188" s="51"/>
      <c r="DN188" s="51"/>
      <c r="DO188" s="51"/>
      <c r="DP188" s="19"/>
      <c r="DQ188" s="19"/>
      <c r="DR188" s="19"/>
      <c r="DS188" s="12"/>
      <c r="DT188" s="13"/>
    </row>
    <row r="189" spans="1:124" ht="5.0999999999999996" customHeight="1">
      <c r="A189" s="12"/>
      <c r="B189" s="18"/>
      <c r="C189" s="19"/>
      <c r="D189" s="19"/>
      <c r="E189" s="19"/>
      <c r="F189" s="43"/>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5"/>
      <c r="DP189" s="19"/>
      <c r="DQ189" s="19"/>
      <c r="DR189" s="19"/>
      <c r="DS189" s="12"/>
      <c r="DT189" s="13"/>
    </row>
    <row r="190" spans="1:124" ht="30" customHeight="1">
      <c r="A190" s="12"/>
      <c r="B190" s="18"/>
      <c r="C190" s="19"/>
      <c r="D190" s="19"/>
      <c r="E190" s="19"/>
      <c r="F190" s="46"/>
      <c r="G190" s="186" t="s">
        <v>1082</v>
      </c>
      <c r="H190" s="186"/>
      <c r="I190" s="186"/>
      <c r="J190" s="186"/>
      <c r="K190" s="186"/>
      <c r="L190" s="186"/>
      <c r="M190" s="186"/>
      <c r="N190" s="186"/>
      <c r="O190" s="186"/>
      <c r="P190" s="186"/>
      <c r="Q190" s="186"/>
      <c r="R190" s="186"/>
      <c r="S190" s="186"/>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186"/>
      <c r="AQ190" s="42"/>
      <c r="AR190" s="42"/>
      <c r="AS190" s="186" t="s">
        <v>1083</v>
      </c>
      <c r="AT190" s="186"/>
      <c r="AU190" s="186"/>
      <c r="AV190" s="186"/>
      <c r="AW190" s="186"/>
      <c r="AX190" s="186"/>
      <c r="AY190" s="186"/>
      <c r="AZ190" s="186"/>
      <c r="BA190" s="186"/>
      <c r="BB190" s="186"/>
      <c r="BC190" s="186"/>
      <c r="BD190" s="186"/>
      <c r="BE190" s="186"/>
      <c r="BF190" s="186"/>
      <c r="BG190" s="186"/>
      <c r="BH190" s="186"/>
      <c r="BI190" s="186"/>
      <c r="BJ190" s="186"/>
      <c r="BK190" s="186"/>
      <c r="BL190" s="186"/>
      <c r="BM190" s="186"/>
      <c r="BN190" s="186"/>
      <c r="BO190" s="186"/>
      <c r="BP190" s="186"/>
      <c r="BQ190" s="186"/>
      <c r="BR190" s="186"/>
      <c r="BS190" s="186"/>
      <c r="BT190" s="186"/>
      <c r="BU190" s="186"/>
      <c r="BV190" s="186"/>
      <c r="BW190" s="186"/>
      <c r="BX190" s="186"/>
      <c r="BY190" s="186"/>
      <c r="BZ190" s="186"/>
      <c r="CA190" s="186"/>
      <c r="CB190" s="42"/>
      <c r="CC190" s="186" t="s">
        <v>1084</v>
      </c>
      <c r="CD190" s="186"/>
      <c r="CE190" s="186"/>
      <c r="CF190" s="186"/>
      <c r="CG190" s="186"/>
      <c r="CH190" s="186"/>
      <c r="CI190" s="186"/>
      <c r="CJ190" s="186"/>
      <c r="CK190" s="186"/>
      <c r="CL190" s="186"/>
      <c r="CM190" s="186"/>
      <c r="CN190" s="186"/>
      <c r="CO190" s="186"/>
      <c r="CP190" s="186"/>
      <c r="CQ190" s="186"/>
      <c r="CR190" s="186"/>
      <c r="CS190" s="186"/>
      <c r="CT190" s="186"/>
      <c r="CU190" s="186"/>
      <c r="CV190" s="186"/>
      <c r="CW190" s="186"/>
      <c r="CX190" s="186"/>
      <c r="CY190" s="186"/>
      <c r="CZ190" s="186"/>
      <c r="DA190" s="186"/>
      <c r="DB190" s="186"/>
      <c r="DC190" s="186"/>
      <c r="DD190" s="186"/>
      <c r="DE190" s="186"/>
      <c r="DF190" s="186"/>
      <c r="DG190" s="186"/>
      <c r="DH190" s="186"/>
      <c r="DI190" s="186"/>
      <c r="DJ190" s="186"/>
      <c r="DK190" s="186"/>
      <c r="DL190" s="186"/>
      <c r="DM190" s="186"/>
      <c r="DN190" s="186"/>
      <c r="DO190" s="47"/>
      <c r="DP190" s="19"/>
      <c r="DQ190" s="19"/>
      <c r="DR190" s="19"/>
      <c r="DS190" s="12"/>
      <c r="DT190" s="13"/>
    </row>
    <row r="191" spans="1:124" ht="5.0999999999999996" customHeight="1">
      <c r="A191" s="12"/>
      <c r="B191" s="18"/>
      <c r="C191" s="19"/>
      <c r="D191" s="19"/>
      <c r="E191" s="19"/>
      <c r="F191" s="46"/>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1"/>
      <c r="BZ191" s="31"/>
      <c r="CA191" s="31"/>
      <c r="CB191" s="31"/>
      <c r="CC191" s="31"/>
      <c r="CD191" s="31"/>
      <c r="CE191" s="31"/>
      <c r="CF191" s="31"/>
      <c r="CG191" s="31"/>
      <c r="CH191" s="31"/>
      <c r="CI191" s="31"/>
      <c r="CJ191" s="31"/>
      <c r="CK191" s="31"/>
      <c r="CL191" s="31"/>
      <c r="CM191" s="31"/>
      <c r="CN191" s="31"/>
      <c r="CO191" s="31"/>
      <c r="CP191" s="31"/>
      <c r="CQ191" s="31"/>
      <c r="CR191" s="31"/>
      <c r="CS191" s="31"/>
      <c r="CT191" s="31"/>
      <c r="CU191" s="31"/>
      <c r="CV191" s="31"/>
      <c r="CW191" s="31"/>
      <c r="CX191" s="31"/>
      <c r="CY191" s="31"/>
      <c r="CZ191" s="31"/>
      <c r="DA191" s="31"/>
      <c r="DB191" s="31"/>
      <c r="DC191" s="31"/>
      <c r="DD191" s="31"/>
      <c r="DE191" s="31"/>
      <c r="DF191" s="31"/>
      <c r="DG191" s="31"/>
      <c r="DH191" s="31"/>
      <c r="DI191" s="31"/>
      <c r="DJ191" s="31"/>
      <c r="DK191" s="31"/>
      <c r="DL191" s="31"/>
      <c r="DM191" s="31"/>
      <c r="DN191" s="31"/>
      <c r="DO191" s="47"/>
      <c r="DP191" s="19"/>
      <c r="DQ191" s="19"/>
      <c r="DR191" s="19"/>
      <c r="DS191" s="12"/>
      <c r="DT191" s="13"/>
    </row>
    <row r="192" spans="1:124" ht="30" customHeight="1">
      <c r="A192" s="12"/>
      <c r="B192" s="18"/>
      <c r="C192" s="19"/>
      <c r="D192" s="19"/>
      <c r="E192" s="19"/>
      <c r="F192" s="46"/>
      <c r="G192" s="199" t="s">
        <v>1085</v>
      </c>
      <c r="H192" s="199"/>
      <c r="I192" s="199"/>
      <c r="J192" s="199"/>
      <c r="K192" s="199"/>
      <c r="L192" s="199"/>
      <c r="M192" s="199"/>
      <c r="N192" s="199"/>
      <c r="O192" s="199"/>
      <c r="P192" s="199"/>
      <c r="Q192" s="199"/>
      <c r="R192" s="199"/>
      <c r="S192" s="199"/>
      <c r="T192" s="199"/>
      <c r="U192" s="199"/>
      <c r="V192" s="199"/>
      <c r="W192" s="199"/>
      <c r="X192" s="199"/>
      <c r="Y192" s="199"/>
      <c r="Z192" s="199"/>
      <c r="AA192" s="199"/>
      <c r="AB192" s="199"/>
      <c r="AC192" s="199"/>
      <c r="AD192" s="199"/>
      <c r="AE192" s="199"/>
      <c r="AF192" s="199"/>
      <c r="AG192" s="199"/>
      <c r="AH192" s="199"/>
      <c r="AI192" s="199"/>
      <c r="AJ192" s="199"/>
      <c r="AK192" s="199"/>
      <c r="AL192" s="199"/>
      <c r="AM192" s="199"/>
      <c r="AN192" s="199"/>
      <c r="AO192" s="199"/>
      <c r="AP192" s="199"/>
      <c r="AQ192" s="42"/>
      <c r="AR192" s="42"/>
      <c r="AS192" s="199" t="s">
        <v>1086</v>
      </c>
      <c r="AT192" s="199"/>
      <c r="AU192" s="199"/>
      <c r="AV192" s="199"/>
      <c r="AW192" s="199"/>
      <c r="AX192" s="199"/>
      <c r="AY192" s="199"/>
      <c r="AZ192" s="199"/>
      <c r="BA192" s="199"/>
      <c r="BB192" s="199"/>
      <c r="BC192" s="199"/>
      <c r="BD192" s="199"/>
      <c r="BE192" s="199"/>
      <c r="BF192" s="199"/>
      <c r="BG192" s="199"/>
      <c r="BH192" s="199"/>
      <c r="BI192" s="199"/>
      <c r="BJ192" s="199"/>
      <c r="BK192" s="199"/>
      <c r="BL192" s="199"/>
      <c r="BM192" s="199"/>
      <c r="BN192" s="199"/>
      <c r="BO192" s="199"/>
      <c r="BP192" s="199"/>
      <c r="BQ192" s="199"/>
      <c r="BR192" s="199"/>
      <c r="BS192" s="199"/>
      <c r="BT192" s="199"/>
      <c r="BU192" s="199"/>
      <c r="BV192" s="199"/>
      <c r="BW192" s="199"/>
      <c r="BX192" s="199"/>
      <c r="BY192" s="199"/>
      <c r="BZ192" s="199"/>
      <c r="CA192" s="199"/>
      <c r="CB192" s="42"/>
      <c r="CC192" s="200" t="s">
        <v>1087</v>
      </c>
      <c r="CD192" s="200"/>
      <c r="CE192" s="200"/>
      <c r="CF192" s="200"/>
      <c r="CG192" s="200"/>
      <c r="CH192" s="200"/>
      <c r="CI192" s="200"/>
      <c r="CJ192" s="200"/>
      <c r="CK192" s="200"/>
      <c r="CL192" s="200"/>
      <c r="CM192" s="200"/>
      <c r="CN192" s="200"/>
      <c r="CO192" s="200"/>
      <c r="CP192" s="200"/>
      <c r="CQ192" s="200"/>
      <c r="CR192" s="200"/>
      <c r="CS192" s="200"/>
      <c r="CT192" s="200"/>
      <c r="CU192" s="200"/>
      <c r="CV192" s="200"/>
      <c r="CW192" s="200"/>
      <c r="CX192" s="200"/>
      <c r="CY192" s="200"/>
      <c r="CZ192" s="200"/>
      <c r="DA192" s="200"/>
      <c r="DB192" s="200"/>
      <c r="DC192" s="200"/>
      <c r="DD192" s="200"/>
      <c r="DE192" s="200"/>
      <c r="DF192" s="200"/>
      <c r="DG192" s="200"/>
      <c r="DH192" s="200"/>
      <c r="DI192" s="200"/>
      <c r="DJ192" s="200"/>
      <c r="DK192" s="200"/>
      <c r="DL192" s="200"/>
      <c r="DM192" s="200"/>
      <c r="DN192" s="200"/>
      <c r="DO192" s="47"/>
      <c r="DP192" s="19"/>
      <c r="DQ192" s="19"/>
      <c r="DR192" s="19"/>
      <c r="DS192" s="12"/>
      <c r="DT192" s="13"/>
    </row>
    <row r="193" spans="1:124" ht="5.0999999999999996" customHeight="1">
      <c r="A193" s="12"/>
      <c r="B193" s="18"/>
      <c r="C193" s="19"/>
      <c r="D193" s="19"/>
      <c r="E193" s="19"/>
      <c r="F193" s="46"/>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c r="CH193" s="31"/>
      <c r="CI193" s="31"/>
      <c r="CJ193" s="31"/>
      <c r="CK193" s="31"/>
      <c r="CL193" s="31"/>
      <c r="CM193" s="31"/>
      <c r="CN193" s="31"/>
      <c r="CO193" s="31"/>
      <c r="CP193" s="31"/>
      <c r="CQ193" s="31"/>
      <c r="CR193" s="31"/>
      <c r="CS193" s="31"/>
      <c r="CT193" s="31"/>
      <c r="CU193" s="31"/>
      <c r="CV193" s="31"/>
      <c r="CW193" s="31"/>
      <c r="CX193" s="31"/>
      <c r="CY193" s="31"/>
      <c r="CZ193" s="31"/>
      <c r="DA193" s="31"/>
      <c r="DB193" s="31"/>
      <c r="DC193" s="31"/>
      <c r="DD193" s="31"/>
      <c r="DE193" s="31"/>
      <c r="DF193" s="31"/>
      <c r="DG193" s="31"/>
      <c r="DH193" s="31"/>
      <c r="DI193" s="31"/>
      <c r="DJ193" s="31"/>
      <c r="DK193" s="31"/>
      <c r="DL193" s="31"/>
      <c r="DM193" s="31"/>
      <c r="DN193" s="31"/>
      <c r="DO193" s="47"/>
      <c r="DP193" s="19"/>
      <c r="DQ193" s="19"/>
      <c r="DR193" s="19"/>
      <c r="DS193" s="12"/>
      <c r="DT193" s="13"/>
    </row>
    <row r="194" spans="1:124" ht="30" customHeight="1">
      <c r="A194" s="12"/>
      <c r="B194" s="18"/>
      <c r="C194" s="19"/>
      <c r="D194" s="19"/>
      <c r="E194" s="19"/>
      <c r="F194" s="46"/>
      <c r="G194" s="199" t="s">
        <v>1088</v>
      </c>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42"/>
      <c r="AR194" s="42"/>
      <c r="AS194" s="199" t="s">
        <v>1086</v>
      </c>
      <c r="AT194" s="199"/>
      <c r="AU194" s="199"/>
      <c r="AV194" s="199"/>
      <c r="AW194" s="199"/>
      <c r="AX194" s="199"/>
      <c r="AY194" s="199"/>
      <c r="AZ194" s="199"/>
      <c r="BA194" s="199"/>
      <c r="BB194" s="199"/>
      <c r="BC194" s="199"/>
      <c r="BD194" s="199"/>
      <c r="BE194" s="199"/>
      <c r="BF194" s="199"/>
      <c r="BG194" s="199"/>
      <c r="BH194" s="199"/>
      <c r="BI194" s="199"/>
      <c r="BJ194" s="199"/>
      <c r="BK194" s="199"/>
      <c r="BL194" s="199"/>
      <c r="BM194" s="199"/>
      <c r="BN194" s="199"/>
      <c r="BO194" s="199"/>
      <c r="BP194" s="199"/>
      <c r="BQ194" s="199"/>
      <c r="BR194" s="199"/>
      <c r="BS194" s="199"/>
      <c r="BT194" s="199"/>
      <c r="BU194" s="199"/>
      <c r="BV194" s="199"/>
      <c r="BW194" s="199"/>
      <c r="BX194" s="199"/>
      <c r="BY194" s="199"/>
      <c r="BZ194" s="199"/>
      <c r="CA194" s="199"/>
      <c r="CB194" s="42"/>
      <c r="CC194" s="200" t="s">
        <v>1089</v>
      </c>
      <c r="CD194" s="200"/>
      <c r="CE194" s="200"/>
      <c r="CF194" s="200"/>
      <c r="CG194" s="200"/>
      <c r="CH194" s="200"/>
      <c r="CI194" s="200"/>
      <c r="CJ194" s="200"/>
      <c r="CK194" s="200"/>
      <c r="CL194" s="200"/>
      <c r="CM194" s="200"/>
      <c r="CN194" s="200"/>
      <c r="CO194" s="200"/>
      <c r="CP194" s="200"/>
      <c r="CQ194" s="200"/>
      <c r="CR194" s="200"/>
      <c r="CS194" s="200"/>
      <c r="CT194" s="200"/>
      <c r="CU194" s="200"/>
      <c r="CV194" s="200"/>
      <c r="CW194" s="200"/>
      <c r="CX194" s="200"/>
      <c r="CY194" s="200"/>
      <c r="CZ194" s="200"/>
      <c r="DA194" s="200"/>
      <c r="DB194" s="200"/>
      <c r="DC194" s="200"/>
      <c r="DD194" s="200"/>
      <c r="DE194" s="200"/>
      <c r="DF194" s="200"/>
      <c r="DG194" s="200"/>
      <c r="DH194" s="200"/>
      <c r="DI194" s="200"/>
      <c r="DJ194" s="200"/>
      <c r="DK194" s="200"/>
      <c r="DL194" s="200"/>
      <c r="DM194" s="200"/>
      <c r="DN194" s="200"/>
      <c r="DO194" s="47"/>
      <c r="DP194" s="19"/>
      <c r="DQ194" s="19"/>
      <c r="DR194" s="19"/>
      <c r="DS194" s="12"/>
      <c r="DT194" s="13"/>
    </row>
    <row r="195" spans="1:124" ht="5.0999999999999996" customHeight="1">
      <c r="A195" s="12"/>
      <c r="B195" s="18"/>
      <c r="C195" s="19"/>
      <c r="D195" s="19"/>
      <c r="E195" s="19"/>
      <c r="F195" s="46"/>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c r="CH195" s="31"/>
      <c r="CI195" s="31"/>
      <c r="CJ195" s="31"/>
      <c r="CK195" s="31"/>
      <c r="CL195" s="31"/>
      <c r="CM195" s="31"/>
      <c r="CN195" s="31"/>
      <c r="CO195" s="31"/>
      <c r="CP195" s="31"/>
      <c r="CQ195" s="31"/>
      <c r="CR195" s="31"/>
      <c r="CS195" s="31"/>
      <c r="CT195" s="31"/>
      <c r="CU195" s="31"/>
      <c r="CV195" s="31"/>
      <c r="CW195" s="31"/>
      <c r="CX195" s="31"/>
      <c r="CY195" s="31"/>
      <c r="CZ195" s="31"/>
      <c r="DA195" s="31"/>
      <c r="DB195" s="31"/>
      <c r="DC195" s="31"/>
      <c r="DD195" s="31"/>
      <c r="DE195" s="31"/>
      <c r="DF195" s="31"/>
      <c r="DG195" s="31"/>
      <c r="DH195" s="31"/>
      <c r="DI195" s="31"/>
      <c r="DJ195" s="31"/>
      <c r="DK195" s="31"/>
      <c r="DL195" s="31"/>
      <c r="DM195" s="31"/>
      <c r="DN195" s="31"/>
      <c r="DO195" s="47"/>
      <c r="DP195" s="19"/>
      <c r="DQ195" s="19"/>
      <c r="DR195" s="19"/>
      <c r="DS195" s="12"/>
      <c r="DT195" s="13"/>
    </row>
    <row r="196" spans="1:124" ht="30" customHeight="1">
      <c r="A196" s="12"/>
      <c r="B196" s="18"/>
      <c r="C196" s="19"/>
      <c r="D196" s="19"/>
      <c r="E196" s="19"/>
      <c r="F196" s="46"/>
      <c r="G196" s="199" t="s">
        <v>1090</v>
      </c>
      <c r="H196" s="199"/>
      <c r="I196" s="199"/>
      <c r="J196" s="199"/>
      <c r="K196" s="199"/>
      <c r="L196" s="199"/>
      <c r="M196" s="199"/>
      <c r="N196" s="199"/>
      <c r="O196" s="199"/>
      <c r="P196" s="199"/>
      <c r="Q196" s="199"/>
      <c r="R196" s="199"/>
      <c r="S196" s="199"/>
      <c r="T196" s="199"/>
      <c r="U196" s="199"/>
      <c r="V196" s="199"/>
      <c r="W196" s="199"/>
      <c r="X196" s="199"/>
      <c r="Y196" s="199"/>
      <c r="Z196" s="199"/>
      <c r="AA196" s="199"/>
      <c r="AB196" s="199"/>
      <c r="AC196" s="199"/>
      <c r="AD196" s="199"/>
      <c r="AE196" s="199"/>
      <c r="AF196" s="199"/>
      <c r="AG196" s="199"/>
      <c r="AH196" s="199"/>
      <c r="AI196" s="199"/>
      <c r="AJ196" s="199"/>
      <c r="AK196" s="199"/>
      <c r="AL196" s="199"/>
      <c r="AM196" s="199"/>
      <c r="AN196" s="199"/>
      <c r="AO196" s="199"/>
      <c r="AP196" s="199"/>
      <c r="AQ196" s="42"/>
      <c r="AR196" s="42"/>
      <c r="AS196" s="199" t="s">
        <v>1091</v>
      </c>
      <c r="AT196" s="199"/>
      <c r="AU196" s="199"/>
      <c r="AV196" s="199"/>
      <c r="AW196" s="199"/>
      <c r="AX196" s="199"/>
      <c r="AY196" s="199"/>
      <c r="AZ196" s="199"/>
      <c r="BA196" s="199"/>
      <c r="BB196" s="199"/>
      <c r="BC196" s="199"/>
      <c r="BD196" s="199"/>
      <c r="BE196" s="199"/>
      <c r="BF196" s="199"/>
      <c r="BG196" s="199"/>
      <c r="BH196" s="199"/>
      <c r="BI196" s="199"/>
      <c r="BJ196" s="199"/>
      <c r="BK196" s="199"/>
      <c r="BL196" s="199"/>
      <c r="BM196" s="199"/>
      <c r="BN196" s="199"/>
      <c r="BO196" s="199"/>
      <c r="BP196" s="199"/>
      <c r="BQ196" s="199"/>
      <c r="BR196" s="199"/>
      <c r="BS196" s="199"/>
      <c r="BT196" s="199"/>
      <c r="BU196" s="199"/>
      <c r="BV196" s="199"/>
      <c r="BW196" s="199"/>
      <c r="BX196" s="199"/>
      <c r="BY196" s="199"/>
      <c r="BZ196" s="199"/>
      <c r="CA196" s="199"/>
      <c r="CB196" s="42"/>
      <c r="CC196" s="200" t="s">
        <v>1092</v>
      </c>
      <c r="CD196" s="200"/>
      <c r="CE196" s="200"/>
      <c r="CF196" s="200"/>
      <c r="CG196" s="200"/>
      <c r="CH196" s="200"/>
      <c r="CI196" s="200"/>
      <c r="CJ196" s="200"/>
      <c r="CK196" s="200"/>
      <c r="CL196" s="200"/>
      <c r="CM196" s="200"/>
      <c r="CN196" s="200"/>
      <c r="CO196" s="200"/>
      <c r="CP196" s="200"/>
      <c r="CQ196" s="200"/>
      <c r="CR196" s="200"/>
      <c r="CS196" s="200"/>
      <c r="CT196" s="200"/>
      <c r="CU196" s="200"/>
      <c r="CV196" s="200"/>
      <c r="CW196" s="200"/>
      <c r="CX196" s="200"/>
      <c r="CY196" s="200"/>
      <c r="CZ196" s="200"/>
      <c r="DA196" s="200"/>
      <c r="DB196" s="200"/>
      <c r="DC196" s="200"/>
      <c r="DD196" s="200"/>
      <c r="DE196" s="200"/>
      <c r="DF196" s="200"/>
      <c r="DG196" s="200"/>
      <c r="DH196" s="200"/>
      <c r="DI196" s="200"/>
      <c r="DJ196" s="200"/>
      <c r="DK196" s="200"/>
      <c r="DL196" s="200"/>
      <c r="DM196" s="200"/>
      <c r="DN196" s="200"/>
      <c r="DO196" s="47"/>
      <c r="DP196" s="19"/>
      <c r="DQ196" s="19"/>
      <c r="DR196" s="19"/>
      <c r="DS196" s="12"/>
      <c r="DT196" s="13"/>
    </row>
    <row r="197" spans="1:124" ht="5.0999999999999996" customHeight="1">
      <c r="A197" s="12"/>
      <c r="B197" s="18"/>
      <c r="C197" s="19"/>
      <c r="D197" s="19"/>
      <c r="E197" s="19"/>
      <c r="F197" s="48"/>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50"/>
      <c r="DP197" s="19"/>
      <c r="DQ197" s="19"/>
      <c r="DR197" s="19"/>
      <c r="DS197" s="12"/>
      <c r="DT197" s="13"/>
    </row>
    <row r="198" spans="1:124" ht="15" customHeight="1">
      <c r="A198" s="12"/>
      <c r="B198" s="18"/>
      <c r="C198" s="19"/>
      <c r="D198" s="19"/>
      <c r="E198" s="19"/>
      <c r="F198" s="57"/>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c r="DH198" s="58"/>
      <c r="DI198" s="58"/>
      <c r="DJ198" s="58"/>
      <c r="DK198" s="58"/>
      <c r="DL198" s="58"/>
      <c r="DM198" s="58"/>
      <c r="DN198" s="58"/>
      <c r="DO198" s="19"/>
      <c r="DP198" s="19"/>
      <c r="DQ198" s="19"/>
      <c r="DR198" s="19"/>
      <c r="DS198" s="12"/>
      <c r="DT198" s="13"/>
    </row>
    <row r="199" spans="1:124" ht="5.0999999999999996" customHeight="1">
      <c r="DS199" s="12"/>
    </row>
    <row r="200" spans="1:124" ht="5.0999999999999996" customHeight="1">
      <c r="DS200" s="12"/>
    </row>
    <row r="201" spans="1:124" s="5" customFormat="1" ht="15" customHeight="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row>
    <row r="202" spans="1:124" s="5" customFormat="1" ht="39.950000000000003" customHeight="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c r="CA202" s="12"/>
      <c r="CB202" s="12"/>
      <c r="CC202" s="12"/>
      <c r="CD202" s="12"/>
      <c r="CE202" s="12"/>
      <c r="CF202" s="12"/>
      <c r="CG202" s="12"/>
      <c r="CH202" s="12"/>
      <c r="CI202" s="12"/>
      <c r="CJ202" s="12"/>
      <c r="CK202" s="12"/>
      <c r="CL202" s="12"/>
      <c r="CM202" s="12"/>
      <c r="CN202" s="12"/>
      <c r="CO202" s="12"/>
      <c r="CP202" s="12"/>
      <c r="CQ202" s="12"/>
      <c r="CR202" s="12"/>
      <c r="CS202" s="12"/>
      <c r="CT202" s="12"/>
      <c r="CU202" s="12"/>
      <c r="CV202" s="12"/>
      <c r="CW202" s="12"/>
      <c r="CX202" s="12"/>
      <c r="CY202" s="12"/>
      <c r="CZ202" s="12"/>
      <c r="DA202" s="12"/>
      <c r="DB202" s="12"/>
      <c r="DC202" s="12"/>
      <c r="DD202" s="12"/>
      <c r="DE202" s="12"/>
      <c r="DF202" s="12"/>
      <c r="DG202" s="12"/>
      <c r="DH202" s="12"/>
      <c r="DI202" s="12"/>
      <c r="DJ202" s="12"/>
      <c r="DK202" s="12"/>
      <c r="DL202" s="12"/>
      <c r="DM202" s="12"/>
      <c r="DN202" s="12"/>
      <c r="DO202" s="12"/>
      <c r="DP202" s="12"/>
      <c r="DQ202" s="12"/>
      <c r="DR202" s="12"/>
      <c r="DS202" s="12"/>
      <c r="DT202" s="12"/>
    </row>
    <row r="203" spans="1:124" ht="5.0999999999999996" customHeight="1">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c r="DH203" s="58"/>
      <c r="DI203" s="58"/>
      <c r="DJ203" s="58"/>
      <c r="DK203" s="58"/>
      <c r="DL203" s="58"/>
      <c r="DM203" s="58"/>
      <c r="DN203" s="58"/>
      <c r="DO203" s="58"/>
      <c r="DP203" s="58"/>
      <c r="DQ203" s="58"/>
      <c r="DR203" s="58"/>
    </row>
    <row r="204" spans="1:124" ht="15" customHeight="1">
      <c r="A204" s="12"/>
      <c r="B204" s="12"/>
      <c r="C204" s="19"/>
      <c r="D204" s="19"/>
      <c r="E204" s="19"/>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c r="CH204" s="51"/>
      <c r="CI204" s="51"/>
      <c r="CJ204" s="51"/>
      <c r="CK204" s="51"/>
      <c r="CL204" s="51"/>
      <c r="CM204" s="51"/>
      <c r="CN204" s="51"/>
      <c r="CO204" s="51"/>
      <c r="CP204" s="51"/>
      <c r="CQ204" s="51"/>
      <c r="CR204" s="51"/>
      <c r="CS204" s="51"/>
      <c r="CT204" s="51"/>
      <c r="CU204" s="51"/>
      <c r="CV204" s="51"/>
      <c r="CW204" s="51"/>
      <c r="CX204" s="51"/>
      <c r="CY204" s="51"/>
      <c r="CZ204" s="51"/>
      <c r="DA204" s="51"/>
      <c r="DB204" s="51"/>
      <c r="DC204" s="51"/>
      <c r="DD204" s="51"/>
      <c r="DE204" s="51"/>
      <c r="DF204" s="51"/>
      <c r="DG204" s="51"/>
      <c r="DH204" s="51"/>
      <c r="DI204" s="51"/>
      <c r="DJ204" s="51"/>
      <c r="DK204" s="51"/>
      <c r="DL204" s="51"/>
      <c r="DM204" s="51"/>
      <c r="DN204" s="51"/>
      <c r="DO204" s="51"/>
      <c r="DP204" s="19"/>
      <c r="DQ204" s="19"/>
      <c r="DR204" s="19"/>
    </row>
    <row r="205" spans="1:124" ht="24.95" customHeight="1">
      <c r="A205" s="116"/>
      <c r="B205" s="12"/>
      <c r="C205" s="19"/>
      <c r="D205" s="19"/>
      <c r="E205" s="19"/>
      <c r="F205" s="196" t="s">
        <v>1129</v>
      </c>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197"/>
      <c r="BG205" s="197"/>
      <c r="BH205" s="197"/>
      <c r="BI205" s="197"/>
      <c r="BJ205" s="197"/>
      <c r="BK205" s="197"/>
      <c r="BL205" s="197"/>
      <c r="BM205" s="197"/>
      <c r="BN205" s="197"/>
      <c r="BO205" s="197"/>
      <c r="BP205" s="197"/>
      <c r="BQ205" s="197"/>
      <c r="BR205" s="197"/>
      <c r="BS205" s="197"/>
      <c r="BT205" s="197"/>
      <c r="BU205" s="197"/>
      <c r="BV205" s="197"/>
      <c r="BW205" s="197"/>
      <c r="BX205" s="197"/>
      <c r="BY205" s="197"/>
      <c r="BZ205" s="197"/>
      <c r="CA205" s="197"/>
      <c r="CB205" s="197"/>
      <c r="CC205" s="197"/>
      <c r="CD205" s="197"/>
      <c r="CE205" s="197"/>
      <c r="CF205" s="197"/>
      <c r="CG205" s="197"/>
      <c r="CH205" s="197"/>
      <c r="CI205" s="197"/>
      <c r="CJ205" s="197"/>
      <c r="CK205" s="197"/>
      <c r="CL205" s="197"/>
      <c r="CM205" s="197"/>
      <c r="CN205" s="197"/>
      <c r="CO205" s="197"/>
      <c r="CP205" s="197"/>
      <c r="CQ205" s="197"/>
      <c r="CR205" s="197"/>
      <c r="CS205" s="197"/>
      <c r="CT205" s="197"/>
      <c r="CU205" s="197"/>
      <c r="CV205" s="197"/>
      <c r="CW205" s="197"/>
      <c r="CX205" s="197"/>
      <c r="CY205" s="197"/>
      <c r="CZ205" s="197"/>
      <c r="DA205" s="197"/>
      <c r="DB205" s="197"/>
      <c r="DC205" s="197"/>
      <c r="DD205" s="197"/>
      <c r="DE205" s="197"/>
      <c r="DF205" s="197"/>
      <c r="DG205" s="197"/>
      <c r="DH205" s="197"/>
      <c r="DI205" s="197"/>
      <c r="DJ205" s="197"/>
      <c r="DK205" s="197"/>
      <c r="DL205" s="197"/>
      <c r="DM205" s="197"/>
      <c r="DN205" s="197"/>
      <c r="DO205" s="198"/>
      <c r="DP205" s="19"/>
      <c r="DQ205" s="19"/>
      <c r="DR205" s="19"/>
      <c r="DS205" s="12"/>
      <c r="DT205" s="13"/>
    </row>
    <row r="206" spans="1:124" ht="5.0999999999999996" customHeight="1">
      <c r="A206" s="12"/>
      <c r="B206" s="18"/>
      <c r="C206" s="19"/>
      <c r="D206" s="19"/>
      <c r="E206" s="19"/>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177"/>
      <c r="AH206" s="177"/>
      <c r="AI206" s="177"/>
      <c r="AJ206" s="177"/>
      <c r="AK206" s="177"/>
      <c r="AL206" s="177"/>
      <c r="AM206" s="177"/>
      <c r="AN206" s="177"/>
      <c r="AO206" s="177"/>
      <c r="AP206" s="177"/>
      <c r="AQ206" s="177"/>
      <c r="AR206" s="177"/>
      <c r="AS206" s="177"/>
      <c r="AT206" s="177"/>
      <c r="AU206" s="177"/>
      <c r="AV206" s="177"/>
      <c r="AW206" s="177"/>
      <c r="AX206" s="177"/>
      <c r="AY206" s="177"/>
      <c r="AZ206" s="177"/>
      <c r="BA206" s="177"/>
      <c r="BB206" s="177"/>
      <c r="BC206" s="177"/>
      <c r="BD206" s="177"/>
      <c r="BE206" s="177"/>
      <c r="BF206" s="177"/>
      <c r="BG206" s="177"/>
      <c r="BH206" s="177"/>
      <c r="BI206" s="177"/>
      <c r="BJ206" s="177"/>
      <c r="BK206" s="177"/>
      <c r="BL206" s="177"/>
      <c r="BM206" s="177"/>
      <c r="BN206" s="177"/>
      <c r="BO206" s="177"/>
      <c r="BP206" s="177"/>
      <c r="BQ206" s="177"/>
      <c r="BR206" s="177"/>
      <c r="BS206" s="177"/>
      <c r="BT206" s="177"/>
      <c r="BU206" s="177"/>
      <c r="BV206" s="177"/>
      <c r="BW206" s="177"/>
      <c r="BX206" s="177"/>
      <c r="BY206" s="177"/>
      <c r="BZ206" s="177"/>
      <c r="CA206" s="177"/>
      <c r="CB206" s="177"/>
      <c r="CC206" s="177"/>
      <c r="CD206" s="177"/>
      <c r="CE206" s="177"/>
      <c r="CF206" s="177"/>
      <c r="CG206" s="177"/>
      <c r="CH206" s="177"/>
      <c r="CI206" s="177"/>
      <c r="CJ206" s="177"/>
      <c r="CK206" s="177"/>
      <c r="CL206" s="177"/>
      <c r="CM206" s="177"/>
      <c r="CN206" s="177"/>
      <c r="CO206" s="177"/>
      <c r="CP206" s="177"/>
      <c r="CQ206" s="177"/>
      <c r="CR206" s="177"/>
      <c r="CS206" s="177"/>
      <c r="CT206" s="177"/>
      <c r="CU206" s="177"/>
      <c r="CV206" s="177"/>
      <c r="CW206" s="177"/>
      <c r="CX206" s="177"/>
      <c r="CY206" s="177"/>
      <c r="CZ206" s="177"/>
      <c r="DA206" s="177"/>
      <c r="DB206" s="177"/>
      <c r="DC206" s="177"/>
      <c r="DD206" s="177"/>
      <c r="DE206" s="177"/>
      <c r="DF206" s="177"/>
      <c r="DG206" s="177"/>
      <c r="DH206" s="177"/>
      <c r="DI206" s="177"/>
      <c r="DJ206" s="177"/>
      <c r="DK206" s="177"/>
      <c r="DL206" s="177"/>
      <c r="DM206" s="177"/>
      <c r="DN206" s="177"/>
      <c r="DO206" s="177"/>
      <c r="DP206" s="19"/>
      <c r="DQ206" s="19"/>
      <c r="DR206" s="19"/>
      <c r="DS206" s="12"/>
      <c r="DT206" s="13"/>
    </row>
    <row r="207" spans="1:124" ht="5.0999999999999996" customHeight="1">
      <c r="A207" s="12"/>
      <c r="B207" s="18"/>
      <c r="C207" s="19"/>
      <c r="D207" s="19"/>
      <c r="E207" s="19"/>
      <c r="F207" s="79"/>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80"/>
      <c r="CE207" s="80"/>
      <c r="CF207" s="80"/>
      <c r="CG207" s="80"/>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80"/>
      <c r="DJ207" s="80"/>
      <c r="DK207" s="80"/>
      <c r="DL207" s="80"/>
      <c r="DM207" s="80"/>
      <c r="DN207" s="80"/>
      <c r="DO207" s="81"/>
      <c r="DP207" s="19"/>
      <c r="DQ207" s="19"/>
      <c r="DR207" s="19"/>
      <c r="DS207" s="12"/>
      <c r="DT207" s="13"/>
    </row>
    <row r="208" spans="1:124" ht="30" customHeight="1">
      <c r="A208" s="12"/>
      <c r="B208" s="18"/>
      <c r="C208" s="19"/>
      <c r="D208" s="19"/>
      <c r="E208" s="54"/>
      <c r="F208" s="82"/>
      <c r="G208" s="178" t="s">
        <v>1093</v>
      </c>
      <c r="H208" s="178"/>
      <c r="I208" s="178"/>
      <c r="J208" s="178"/>
      <c r="K208" s="178"/>
      <c r="L208" s="178"/>
      <c r="M208" s="178"/>
      <c r="N208" s="178"/>
      <c r="O208" s="178"/>
      <c r="P208" s="178"/>
      <c r="Q208" s="178"/>
      <c r="R208" s="178"/>
      <c r="S208" s="178"/>
      <c r="T208" s="178"/>
      <c r="U208" s="178"/>
      <c r="V208" s="178"/>
      <c r="W208" s="178"/>
      <c r="X208" s="178"/>
      <c r="Y208" s="178"/>
      <c r="Z208" s="178"/>
      <c r="AA208" s="178"/>
      <c r="AB208" s="178"/>
      <c r="AC208" s="58"/>
      <c r="AD208" s="178" t="s">
        <v>1094</v>
      </c>
      <c r="AE208" s="178"/>
      <c r="AF208" s="178"/>
      <c r="AG208" s="178"/>
      <c r="AH208" s="178"/>
      <c r="AI208" s="178"/>
      <c r="AJ208" s="178"/>
      <c r="AK208" s="178"/>
      <c r="AL208" s="178"/>
      <c r="AM208" s="178"/>
      <c r="AN208" s="178"/>
      <c r="AO208" s="178"/>
      <c r="AP208" s="178"/>
      <c r="AQ208" s="178"/>
      <c r="AR208" s="178"/>
      <c r="AS208" s="178"/>
      <c r="AT208" s="178"/>
      <c r="AU208" s="178"/>
      <c r="AV208" s="178"/>
      <c r="AW208" s="178"/>
      <c r="AX208" s="178"/>
      <c r="AY208" s="178"/>
      <c r="AZ208" s="58"/>
      <c r="BA208" s="178" t="s">
        <v>1095</v>
      </c>
      <c r="BB208" s="178"/>
      <c r="BC208" s="178"/>
      <c r="BD208" s="178"/>
      <c r="BE208" s="178"/>
      <c r="BF208" s="178"/>
      <c r="BG208" s="178"/>
      <c r="BH208" s="178"/>
      <c r="BI208" s="178"/>
      <c r="BJ208" s="178"/>
      <c r="BK208" s="178"/>
      <c r="BL208" s="178"/>
      <c r="BM208" s="178"/>
      <c r="BN208" s="178"/>
      <c r="BO208" s="178"/>
      <c r="BP208" s="178"/>
      <c r="BQ208" s="178"/>
      <c r="BR208" s="178"/>
      <c r="BS208" s="178"/>
      <c r="BT208" s="58"/>
      <c r="BU208" s="178" t="s">
        <v>1096</v>
      </c>
      <c r="BV208" s="178"/>
      <c r="BW208" s="178"/>
      <c r="BX208" s="178"/>
      <c r="BY208" s="178"/>
      <c r="BZ208" s="178"/>
      <c r="CA208" s="178"/>
      <c r="CB208" s="178"/>
      <c r="CC208" s="178"/>
      <c r="CD208" s="178"/>
      <c r="CE208" s="178"/>
      <c r="CF208" s="178"/>
      <c r="CG208" s="178"/>
      <c r="CH208" s="178"/>
      <c r="CI208" s="178"/>
      <c r="CJ208" s="178"/>
      <c r="CK208" s="178"/>
      <c r="CL208" s="178"/>
      <c r="CM208" s="178"/>
      <c r="CN208" s="178"/>
      <c r="CO208" s="178"/>
      <c r="CP208" s="178"/>
      <c r="CQ208" s="178"/>
      <c r="CR208" s="58"/>
      <c r="CS208" s="178" t="s">
        <v>1097</v>
      </c>
      <c r="CT208" s="178"/>
      <c r="CU208" s="178"/>
      <c r="CV208" s="178"/>
      <c r="CW208" s="178"/>
      <c r="CX208" s="178"/>
      <c r="CY208" s="178"/>
      <c r="CZ208" s="178"/>
      <c r="DA208" s="178"/>
      <c r="DB208" s="178"/>
      <c r="DC208" s="178"/>
      <c r="DD208" s="178"/>
      <c r="DE208" s="178"/>
      <c r="DF208" s="178"/>
      <c r="DG208" s="178"/>
      <c r="DH208" s="178"/>
      <c r="DI208" s="178"/>
      <c r="DJ208" s="178"/>
      <c r="DK208" s="178"/>
      <c r="DL208" s="178"/>
      <c r="DM208" s="178"/>
      <c r="DN208" s="178"/>
      <c r="DO208" s="83"/>
      <c r="DP208" s="54"/>
      <c r="DQ208" s="19"/>
      <c r="DR208" s="19"/>
      <c r="DS208" s="12"/>
      <c r="DT208" s="13"/>
    </row>
    <row r="209" spans="1:124" ht="5.0999999999999996" customHeight="1">
      <c r="A209" s="12"/>
      <c r="B209" s="18"/>
      <c r="C209" s="19"/>
      <c r="D209" s="19"/>
      <c r="E209" s="19"/>
      <c r="F209" s="84"/>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c r="AS209" s="85"/>
      <c r="AT209" s="85"/>
      <c r="AU209" s="85"/>
      <c r="AV209" s="85"/>
      <c r="AW209" s="85"/>
      <c r="AX209" s="85"/>
      <c r="AY209" s="85"/>
      <c r="AZ209" s="85"/>
      <c r="BA209" s="85"/>
      <c r="BB209" s="85"/>
      <c r="BC209" s="85"/>
      <c r="BD209" s="85"/>
      <c r="BE209" s="85"/>
      <c r="BF209" s="85"/>
      <c r="BG209" s="85"/>
      <c r="BH209" s="85"/>
      <c r="BI209" s="85"/>
      <c r="BJ209" s="85"/>
      <c r="BK209" s="85"/>
      <c r="BL209" s="85"/>
      <c r="BM209" s="85"/>
      <c r="BN209" s="85"/>
      <c r="BO209" s="85"/>
      <c r="BP209" s="85"/>
      <c r="BQ209" s="85"/>
      <c r="BR209" s="85"/>
      <c r="BS209" s="85"/>
      <c r="BT209" s="85"/>
      <c r="BU209" s="85"/>
      <c r="BV209" s="85"/>
      <c r="BW209" s="85"/>
      <c r="BX209" s="85"/>
      <c r="BY209" s="85"/>
      <c r="BZ209" s="85"/>
      <c r="CA209" s="85"/>
      <c r="CB209" s="85"/>
      <c r="CC209" s="85"/>
      <c r="CD209" s="85"/>
      <c r="CE209" s="85"/>
      <c r="CF209" s="85"/>
      <c r="CG209" s="85"/>
      <c r="CH209" s="85"/>
      <c r="CI209" s="85"/>
      <c r="CJ209" s="85"/>
      <c r="CK209" s="85"/>
      <c r="CL209" s="85"/>
      <c r="CM209" s="85"/>
      <c r="CN209" s="85"/>
      <c r="CO209" s="85"/>
      <c r="CP209" s="85"/>
      <c r="CQ209" s="85"/>
      <c r="CR209" s="85"/>
      <c r="CS209" s="85"/>
      <c r="CT209" s="85"/>
      <c r="CU209" s="85"/>
      <c r="CV209" s="85"/>
      <c r="CW209" s="85"/>
      <c r="CX209" s="85"/>
      <c r="CY209" s="85"/>
      <c r="CZ209" s="85"/>
      <c r="DA209" s="85"/>
      <c r="DB209" s="85"/>
      <c r="DC209" s="85"/>
      <c r="DD209" s="85"/>
      <c r="DE209" s="85"/>
      <c r="DF209" s="85"/>
      <c r="DG209" s="85"/>
      <c r="DH209" s="85"/>
      <c r="DI209" s="85"/>
      <c r="DJ209" s="85"/>
      <c r="DK209" s="85"/>
      <c r="DL209" s="85"/>
      <c r="DM209" s="85"/>
      <c r="DN209" s="85"/>
      <c r="DO209" s="86"/>
      <c r="DP209" s="19"/>
      <c r="DQ209" s="19"/>
      <c r="DR209" s="19"/>
      <c r="DS209" s="12"/>
      <c r="DT209" s="13"/>
    </row>
    <row r="210" spans="1:124" ht="15" customHeight="1">
      <c r="A210" s="12"/>
      <c r="B210" s="18"/>
      <c r="C210" s="19"/>
      <c r="D210" s="19"/>
      <c r="E210" s="19"/>
      <c r="F210" s="57"/>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c r="DH210" s="58"/>
      <c r="DI210" s="58"/>
      <c r="DJ210" s="58"/>
      <c r="DK210" s="58"/>
      <c r="DL210" s="58"/>
      <c r="DM210" s="58"/>
      <c r="DN210" s="58"/>
      <c r="DO210" s="19"/>
      <c r="DP210" s="19"/>
      <c r="DQ210" s="19"/>
      <c r="DR210" s="19"/>
      <c r="DS210" s="12"/>
      <c r="DT210" s="13"/>
    </row>
    <row r="211" spans="1:124" ht="5.0999999999999996" customHeight="1">
      <c r="DS211" s="12"/>
    </row>
    <row r="212" spans="1:124" ht="5.0999999999999996" customHeight="1">
      <c r="DS212" s="12"/>
    </row>
    <row r="213" spans="1:124" ht="5.0999999999999996" customHeight="1">
      <c r="DS213" s="12"/>
    </row>
    <row r="214" spans="1:124" ht="5.0999999999999996" customHeight="1">
      <c r="A214" s="12"/>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12"/>
      <c r="DT214" s="13"/>
    </row>
    <row r="215" spans="1:124" ht="20.100000000000001" customHeight="1">
      <c r="A215" s="12"/>
      <c r="C215" s="175" t="s">
        <v>1098</v>
      </c>
      <c r="D215" s="175"/>
      <c r="E215" s="175"/>
      <c r="F215" s="175"/>
      <c r="G215" s="175"/>
      <c r="H215" s="175"/>
      <c r="I215" s="175"/>
      <c r="J215" s="175"/>
      <c r="K215" s="175"/>
      <c r="L215" s="175"/>
      <c r="M215" s="175"/>
      <c r="N215" s="175"/>
      <c r="O215" s="175"/>
      <c r="P215" s="175"/>
      <c r="Q215" s="175"/>
      <c r="R215" s="176" t="str">
        <f>$W$18</f>
        <v>2.  اكتب اسم مدرب المقرر التدريبي.</v>
      </c>
      <c r="S215" s="176"/>
      <c r="T215" s="176"/>
      <c r="U215" s="176"/>
      <c r="V215" s="176"/>
      <c r="W215" s="176"/>
      <c r="X215" s="176"/>
      <c r="Y215" s="176"/>
      <c r="Z215" s="176"/>
      <c r="AA215" s="176"/>
      <c r="AB215" s="176"/>
      <c r="AC215" s="176"/>
      <c r="AD215" s="176"/>
      <c r="AE215" s="176"/>
      <c r="AF215" s="176"/>
      <c r="AG215" s="176"/>
      <c r="AH215" s="176"/>
      <c r="AI215" s="176"/>
      <c r="AJ215" s="176"/>
      <c r="AK215" s="176"/>
      <c r="AL215" s="176"/>
      <c r="AM215" s="176"/>
      <c r="AN215" s="176"/>
      <c r="AO215" s="176"/>
      <c r="AP215" s="176"/>
      <c r="AQ215" s="176"/>
      <c r="AR215" s="176"/>
      <c r="AS215" s="176"/>
      <c r="AT215" s="176"/>
      <c r="AU215" s="176"/>
      <c r="AV215" s="176"/>
      <c r="AW215" s="176"/>
      <c r="AX215" s="20"/>
      <c r="AZ215" s="175" t="s">
        <v>1099</v>
      </c>
      <c r="BA215" s="175"/>
      <c r="BB215" s="175"/>
      <c r="BC215" s="175"/>
      <c r="BD215" s="175"/>
      <c r="BE215" s="175"/>
      <c r="BF215" s="175"/>
      <c r="BG215" s="175"/>
      <c r="BH215" s="175"/>
      <c r="BI215" s="175"/>
      <c r="BJ215" s="175"/>
      <c r="BK215" s="175"/>
      <c r="BL215" s="175"/>
      <c r="BM215" s="176" t="str">
        <f>$CJ$22</f>
        <v>اسم المستخدم@tvtc.gov.sa</v>
      </c>
      <c r="BN215" s="176"/>
      <c r="BO215" s="176"/>
      <c r="BP215" s="176"/>
      <c r="BQ215" s="176"/>
      <c r="BR215" s="176"/>
      <c r="BS215" s="176"/>
      <c r="BT215" s="176"/>
      <c r="BU215" s="176"/>
      <c r="BV215" s="176"/>
      <c r="BW215" s="176"/>
      <c r="BX215" s="176"/>
      <c r="BY215" s="176"/>
      <c r="BZ215" s="176"/>
      <c r="CA215" s="176"/>
      <c r="CB215" s="176"/>
      <c r="CC215" s="176"/>
      <c r="CD215" s="176"/>
      <c r="CE215" s="176"/>
      <c r="CF215" s="176"/>
      <c r="CG215" s="176"/>
      <c r="CH215" s="176"/>
      <c r="CI215" s="176"/>
      <c r="CJ215" s="176"/>
      <c r="CK215" s="176"/>
      <c r="CL215" s="176"/>
      <c r="CM215" s="176"/>
      <c r="CN215" s="176"/>
      <c r="CO215" s="176"/>
      <c r="CP215" s="176"/>
      <c r="CQ215" s="176"/>
      <c r="CR215" s="176"/>
      <c r="CS215" s="20"/>
      <c r="CU215" s="175" t="s">
        <v>1100</v>
      </c>
      <c r="CV215" s="175"/>
      <c r="CW215" s="175"/>
      <c r="CX215" s="175"/>
      <c r="CY215" s="175"/>
      <c r="CZ215" s="175"/>
      <c r="DA215" s="174">
        <f ca="1">TODAY()</f>
        <v>45546</v>
      </c>
      <c r="DB215" s="174"/>
      <c r="DC215" s="174"/>
      <c r="DD215" s="174"/>
      <c r="DE215" s="174"/>
      <c r="DF215" s="174"/>
      <c r="DG215" s="174"/>
      <c r="DH215" s="174"/>
      <c r="DI215" s="174"/>
      <c r="DJ215" s="174"/>
      <c r="DK215" s="174"/>
      <c r="DL215" s="174"/>
      <c r="DM215" s="174"/>
      <c r="DN215" s="174"/>
      <c r="DO215" s="174"/>
      <c r="DP215" s="174"/>
      <c r="DQ215" s="174"/>
      <c r="DR215" s="20"/>
      <c r="DS215" s="12"/>
      <c r="DT215" s="13"/>
    </row>
    <row r="216" spans="1:124" ht="5.0999999999999996" customHeight="1">
      <c r="A216" s="12"/>
      <c r="C216" s="53"/>
      <c r="D216" s="53"/>
      <c r="E216" s="53"/>
      <c r="F216" s="53"/>
      <c r="G216" s="53"/>
      <c r="H216" s="53"/>
      <c r="I216" s="53"/>
      <c r="J216" s="53"/>
      <c r="K216" s="53"/>
      <c r="L216" s="53"/>
      <c r="M216" s="53"/>
      <c r="N216" s="53"/>
      <c r="O216" s="53"/>
      <c r="P216" s="53"/>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Z216" s="55"/>
      <c r="BA216" s="55"/>
      <c r="BB216" s="55"/>
      <c r="BC216" s="55"/>
      <c r="BD216" s="55"/>
      <c r="BE216" s="55"/>
      <c r="BF216" s="55"/>
      <c r="BG216" s="55"/>
      <c r="BH216" s="55"/>
      <c r="BI216" s="55"/>
      <c r="BJ216" s="55"/>
      <c r="BK216" s="55"/>
      <c r="BL216" s="55"/>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U216" s="55"/>
      <c r="CV216" s="55"/>
      <c r="CW216" s="55"/>
      <c r="CX216" s="55"/>
      <c r="CY216" s="55"/>
      <c r="CZ216" s="55"/>
      <c r="DA216" s="55"/>
      <c r="DB216" s="55"/>
      <c r="DC216" s="55"/>
      <c r="DD216" s="55"/>
      <c r="DE216" s="20"/>
      <c r="DF216" s="20"/>
      <c r="DG216" s="20"/>
      <c r="DH216" s="20"/>
      <c r="DI216" s="20"/>
      <c r="DJ216" s="20"/>
      <c r="DK216" s="20"/>
      <c r="DL216" s="20"/>
      <c r="DM216" s="20"/>
      <c r="DN216" s="20"/>
      <c r="DO216" s="20"/>
      <c r="DP216" s="20"/>
      <c r="DQ216" s="20"/>
      <c r="DR216" s="20"/>
      <c r="DS216" s="12"/>
      <c r="DT216" s="13"/>
    </row>
    <row r="217" spans="1:124" ht="5.0999999999999996" customHeight="1">
      <c r="A217" s="12"/>
      <c r="C217" s="13"/>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c r="AF217" s="95"/>
      <c r="AG217" s="95"/>
      <c r="AH217" s="95"/>
      <c r="AI217" s="95"/>
      <c r="AJ217" s="95"/>
      <c r="AK217" s="95"/>
      <c r="AL217" s="95"/>
      <c r="AM217" s="95"/>
      <c r="AN217" s="95"/>
      <c r="AO217" s="95"/>
      <c r="AP217" s="95"/>
      <c r="AQ217" s="95"/>
      <c r="AR217" s="95"/>
      <c r="AS217" s="95"/>
      <c r="AT217" s="95"/>
      <c r="AU217" s="95"/>
      <c r="AV217" s="95"/>
      <c r="AW217" s="95"/>
      <c r="AX217" s="95"/>
      <c r="AZ217" s="95"/>
      <c r="BA217" s="95"/>
      <c r="BB217" s="95"/>
      <c r="BC217" s="95"/>
      <c r="BD217" s="95"/>
      <c r="BE217" s="95"/>
      <c r="BF217" s="95"/>
      <c r="BG217" s="95"/>
      <c r="BH217" s="95"/>
      <c r="BI217" s="95"/>
      <c r="BJ217" s="95"/>
      <c r="BK217" s="95"/>
      <c r="BL217" s="95"/>
      <c r="BM217" s="95"/>
      <c r="BN217" s="95"/>
      <c r="BO217" s="95"/>
      <c r="BP217" s="95"/>
      <c r="BQ217" s="95"/>
      <c r="BR217" s="95"/>
      <c r="BS217" s="95"/>
      <c r="BT217" s="95"/>
      <c r="BU217" s="95"/>
      <c r="BV217" s="95"/>
      <c r="BW217" s="95"/>
      <c r="BX217" s="95"/>
      <c r="BY217" s="95"/>
      <c r="BZ217" s="95"/>
      <c r="CA217" s="95"/>
      <c r="CB217" s="95"/>
      <c r="CC217" s="95"/>
      <c r="CD217" s="95"/>
      <c r="CE217" s="95"/>
      <c r="CF217" s="95"/>
      <c r="CG217" s="95"/>
      <c r="CH217" s="95"/>
      <c r="CI217" s="95"/>
      <c r="CJ217" s="95"/>
      <c r="CK217" s="95"/>
      <c r="CL217" s="95"/>
      <c r="CM217" s="95"/>
      <c r="CN217" s="95"/>
      <c r="CS217" s="95"/>
      <c r="CU217" s="95"/>
      <c r="CV217" s="95"/>
      <c r="CW217" s="95"/>
      <c r="CX217" s="95"/>
      <c r="CY217" s="95"/>
      <c r="CZ217" s="95"/>
      <c r="DA217" s="95"/>
      <c r="DB217" s="95"/>
      <c r="DC217" s="95"/>
      <c r="DD217" s="95"/>
      <c r="DE217" s="95"/>
      <c r="DF217" s="95"/>
      <c r="DG217" s="95"/>
      <c r="DH217" s="95"/>
      <c r="DI217" s="95"/>
      <c r="DJ217" s="95"/>
      <c r="DK217" s="95"/>
      <c r="DL217" s="95"/>
      <c r="DM217" s="95"/>
      <c r="DN217" s="95"/>
      <c r="DO217" s="95"/>
      <c r="DR217" s="95"/>
      <c r="DS217" s="12"/>
      <c r="DT217" s="13"/>
    </row>
    <row r="218" spans="1:124" ht="5.0999999999999996" customHeight="1">
      <c r="A218" s="12"/>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12"/>
      <c r="DT218" s="13"/>
    </row>
    <row r="219" spans="1:124" ht="20.100000000000001" customHeight="1">
      <c r="A219" s="12"/>
      <c r="C219" s="175" t="s">
        <v>1101</v>
      </c>
      <c r="D219" s="175"/>
      <c r="E219" s="175"/>
      <c r="F219" s="175"/>
      <c r="G219" s="175"/>
      <c r="H219" s="175"/>
      <c r="I219" s="175"/>
      <c r="J219" s="175"/>
      <c r="K219" s="175"/>
      <c r="L219" s="175"/>
      <c r="M219" s="175"/>
      <c r="N219" s="175"/>
      <c r="O219" s="175"/>
      <c r="P219" s="175"/>
      <c r="Q219" s="175"/>
      <c r="R219" s="176"/>
      <c r="S219" s="176"/>
      <c r="T219" s="176"/>
      <c r="U219" s="176"/>
      <c r="V219" s="176"/>
      <c r="W219" s="176"/>
      <c r="X219" s="176"/>
      <c r="Y219" s="176"/>
      <c r="Z219" s="176"/>
      <c r="AA219" s="176"/>
      <c r="AB219" s="176"/>
      <c r="AC219" s="176"/>
      <c r="AD219" s="176"/>
      <c r="AE219" s="176"/>
      <c r="AF219" s="176"/>
      <c r="AG219" s="176"/>
      <c r="AH219" s="176"/>
      <c r="AI219" s="176"/>
      <c r="AJ219" s="176"/>
      <c r="AK219" s="176"/>
      <c r="AL219" s="176"/>
      <c r="AM219" s="176"/>
      <c r="AN219" s="176"/>
      <c r="AO219" s="176"/>
      <c r="AP219" s="176"/>
      <c r="AQ219" s="176"/>
      <c r="AR219" s="176"/>
      <c r="AS219" s="176"/>
      <c r="AT219" s="176"/>
      <c r="AU219" s="176"/>
      <c r="AV219" s="176"/>
      <c r="AW219" s="176"/>
      <c r="AX219" s="20"/>
      <c r="AZ219" s="175" t="s">
        <v>1099</v>
      </c>
      <c r="BA219" s="175"/>
      <c r="BB219" s="175"/>
      <c r="BC219" s="175"/>
      <c r="BD219" s="175"/>
      <c r="BE219" s="175"/>
      <c r="BF219" s="175"/>
      <c r="BG219" s="175"/>
      <c r="BH219" s="175"/>
      <c r="BI219" s="175"/>
      <c r="BJ219" s="175"/>
      <c r="BK219" s="175"/>
      <c r="BL219" s="175"/>
      <c r="BM219" s="176">
        <f>$AH$52</f>
        <v>0</v>
      </c>
      <c r="BN219" s="176"/>
      <c r="BO219" s="176"/>
      <c r="BP219" s="176"/>
      <c r="BQ219" s="176"/>
      <c r="BR219" s="176"/>
      <c r="BS219" s="176"/>
      <c r="BT219" s="176"/>
      <c r="BU219" s="176"/>
      <c r="BV219" s="176"/>
      <c r="BW219" s="176"/>
      <c r="BX219" s="176"/>
      <c r="BY219" s="176"/>
      <c r="BZ219" s="176"/>
      <c r="CA219" s="176"/>
      <c r="CB219" s="176"/>
      <c r="CC219" s="176"/>
      <c r="CD219" s="176"/>
      <c r="CE219" s="176"/>
      <c r="CF219" s="176"/>
      <c r="CG219" s="176"/>
      <c r="CH219" s="176"/>
      <c r="CI219" s="176"/>
      <c r="CJ219" s="176"/>
      <c r="CK219" s="176"/>
      <c r="CL219" s="176"/>
      <c r="CM219" s="176"/>
      <c r="CN219" s="176"/>
      <c r="CO219" s="176"/>
      <c r="CP219" s="176"/>
      <c r="CQ219" s="176"/>
      <c r="CR219" s="176"/>
      <c r="CS219" s="20"/>
      <c r="CU219" s="175" t="s">
        <v>1100</v>
      </c>
      <c r="CV219" s="175"/>
      <c r="CW219" s="175"/>
      <c r="CX219" s="175"/>
      <c r="CY219" s="175"/>
      <c r="CZ219" s="175"/>
      <c r="DA219" s="174">
        <f ca="1">TODAY()</f>
        <v>45546</v>
      </c>
      <c r="DB219" s="174"/>
      <c r="DC219" s="174"/>
      <c r="DD219" s="174"/>
      <c r="DE219" s="174"/>
      <c r="DF219" s="174"/>
      <c r="DG219" s="174"/>
      <c r="DH219" s="174"/>
      <c r="DI219" s="174"/>
      <c r="DJ219" s="174"/>
      <c r="DK219" s="174"/>
      <c r="DL219" s="174"/>
      <c r="DM219" s="174"/>
      <c r="DN219" s="174"/>
      <c r="DO219" s="174"/>
      <c r="DP219" s="174"/>
      <c r="DQ219" s="174"/>
      <c r="DR219" s="20"/>
      <c r="DS219" s="12"/>
      <c r="DT219" s="13"/>
    </row>
    <row r="220" spans="1:124" ht="5.0999999999999996" customHeight="1">
      <c r="A220" s="12"/>
      <c r="C220" s="53"/>
      <c r="D220" s="53"/>
      <c r="E220" s="53"/>
      <c r="F220" s="53"/>
      <c r="G220" s="53"/>
      <c r="H220" s="53"/>
      <c r="I220" s="53"/>
      <c r="J220" s="53"/>
      <c r="K220" s="53"/>
      <c r="L220" s="53"/>
      <c r="M220" s="53"/>
      <c r="N220" s="53"/>
      <c r="O220" s="53"/>
      <c r="P220" s="53"/>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Z220" s="55"/>
      <c r="BA220" s="55"/>
      <c r="BB220" s="55"/>
      <c r="BC220" s="55"/>
      <c r="BD220" s="55"/>
      <c r="BE220" s="55"/>
      <c r="BF220" s="55"/>
      <c r="BG220" s="55"/>
      <c r="BH220" s="55"/>
      <c r="BI220" s="55"/>
      <c r="BJ220" s="55"/>
      <c r="BK220" s="55"/>
      <c r="BL220" s="55"/>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U220" s="55"/>
      <c r="CV220" s="55"/>
      <c r="CW220" s="55"/>
      <c r="CX220" s="55"/>
      <c r="CY220" s="55"/>
      <c r="CZ220" s="55"/>
      <c r="DA220" s="55"/>
      <c r="DB220" s="55"/>
      <c r="DC220" s="55"/>
      <c r="DD220" s="55"/>
      <c r="DE220" s="20"/>
      <c r="DF220" s="20"/>
      <c r="DG220" s="20"/>
      <c r="DH220" s="20"/>
      <c r="DI220" s="20"/>
      <c r="DJ220" s="20"/>
      <c r="DK220" s="20"/>
      <c r="DL220" s="20"/>
      <c r="DM220" s="20"/>
      <c r="DN220" s="20"/>
      <c r="DO220" s="20"/>
      <c r="DP220" s="20"/>
      <c r="DQ220" s="20"/>
      <c r="DR220" s="20"/>
      <c r="DS220" s="12"/>
      <c r="DT220" s="13"/>
    </row>
    <row r="221" spans="1:124" ht="5.0999999999999996" customHeight="1">
      <c r="A221" s="13"/>
      <c r="B221" s="13"/>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95"/>
      <c r="AO221" s="95"/>
      <c r="AP221" s="95"/>
      <c r="AQ221" s="95"/>
      <c r="AR221" s="95"/>
      <c r="AS221" s="95"/>
      <c r="AT221" s="95"/>
      <c r="AU221" s="95"/>
      <c r="AV221" s="95"/>
      <c r="AW221" s="95"/>
      <c r="AX221" s="95"/>
      <c r="AY221" s="95"/>
      <c r="AZ221" s="95"/>
      <c r="BA221" s="95"/>
      <c r="BB221" s="95"/>
      <c r="BC221" s="95"/>
      <c r="BD221" s="95"/>
      <c r="BE221" s="95"/>
      <c r="BF221" s="95"/>
      <c r="BG221" s="95"/>
      <c r="BH221" s="95"/>
      <c r="BI221" s="95"/>
      <c r="BJ221" s="95"/>
      <c r="BK221" s="95"/>
      <c r="BL221" s="95"/>
      <c r="BM221" s="95"/>
      <c r="BN221" s="95"/>
      <c r="BO221" s="95"/>
      <c r="BP221" s="95"/>
      <c r="BQ221" s="95"/>
      <c r="BR221" s="95"/>
      <c r="BS221" s="95"/>
      <c r="BT221" s="95"/>
      <c r="BU221" s="95"/>
      <c r="BV221" s="95"/>
      <c r="BW221" s="95"/>
      <c r="BX221" s="95"/>
      <c r="BY221" s="95"/>
      <c r="BZ221" s="95"/>
      <c r="CA221" s="95"/>
      <c r="CB221" s="95"/>
      <c r="CC221" s="95"/>
      <c r="CD221" s="95"/>
      <c r="CE221" s="95"/>
      <c r="CF221" s="95"/>
      <c r="CG221" s="95"/>
      <c r="CH221" s="95"/>
      <c r="CI221" s="95"/>
      <c r="CJ221" s="95"/>
      <c r="CK221" s="95"/>
      <c r="CL221" s="95"/>
      <c r="CM221" s="95"/>
      <c r="CN221" s="95"/>
      <c r="CO221" s="95"/>
      <c r="CP221" s="95"/>
      <c r="CQ221" s="95"/>
      <c r="CR221" s="95"/>
      <c r="CS221" s="95"/>
      <c r="CT221" s="95"/>
      <c r="CU221" s="95"/>
      <c r="CV221" s="95"/>
      <c r="CW221" s="95"/>
      <c r="CX221" s="95"/>
      <c r="CY221" s="95"/>
      <c r="CZ221" s="95"/>
      <c r="DA221" s="95"/>
      <c r="DB221" s="95"/>
      <c r="DC221" s="95"/>
      <c r="DD221" s="95"/>
      <c r="DE221" s="95"/>
      <c r="DF221" s="95"/>
      <c r="DG221" s="95"/>
      <c r="DH221" s="95"/>
      <c r="DI221" s="95"/>
      <c r="DJ221" s="95"/>
      <c r="DK221" s="95"/>
      <c r="DL221" s="95"/>
      <c r="DM221" s="95"/>
      <c r="DN221" s="95"/>
      <c r="DO221" s="95"/>
      <c r="DP221" s="95"/>
      <c r="DQ221" s="95"/>
      <c r="DR221" s="95"/>
      <c r="DS221" s="13"/>
      <c r="DT221" s="13"/>
    </row>
    <row r="222" spans="1:124" ht="20.100000000000001" customHeight="1">
      <c r="A222" s="12"/>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96"/>
      <c r="BZ222" s="96"/>
      <c r="CA222" s="96"/>
      <c r="CB222" s="96"/>
      <c r="CC222" s="96"/>
      <c r="CD222" s="96"/>
      <c r="CE222" s="96"/>
      <c r="CF222" s="96"/>
      <c r="CG222" s="96"/>
      <c r="CH222" s="96"/>
      <c r="CI222" s="96"/>
      <c r="CJ222" s="96"/>
      <c r="CK222" s="96"/>
      <c r="CL222" s="96"/>
      <c r="CM222" s="96"/>
      <c r="CN222" s="96"/>
      <c r="CO222" s="96"/>
      <c r="CP222" s="96"/>
      <c r="CQ222" s="96"/>
      <c r="CR222" s="96"/>
      <c r="CS222" s="96"/>
      <c r="CT222" s="96"/>
      <c r="CU222" s="96"/>
      <c r="CV222" s="96"/>
      <c r="CW222" s="96"/>
      <c r="CX222" s="96"/>
      <c r="CY222" s="96"/>
      <c r="CZ222" s="96"/>
      <c r="DA222" s="96"/>
      <c r="DB222" s="96"/>
      <c r="DC222" s="96"/>
      <c r="DD222" s="96"/>
      <c r="DE222" s="96"/>
      <c r="DF222" s="96"/>
      <c r="DG222" s="96"/>
      <c r="DH222" s="96"/>
      <c r="DI222" s="96"/>
      <c r="DJ222" s="96"/>
      <c r="DK222" s="96"/>
      <c r="DL222" s="96"/>
      <c r="DM222" s="96"/>
      <c r="DN222" s="96"/>
      <c r="DO222" s="96"/>
      <c r="DP222" s="96"/>
      <c r="DQ222" s="96"/>
      <c r="DR222" s="96"/>
      <c r="DS222" s="12"/>
      <c r="DT222" s="13"/>
    </row>
    <row r="223" spans="1:124" ht="20.100000000000001" customHeight="1"/>
    <row r="224" spans="1:124" ht="5.0999999999999996" hidden="1" customHeight="1"/>
    <row r="225" spans="1:123" ht="5.0999999999999996" hidden="1" customHeight="1"/>
    <row r="226" spans="1:123" s="5" customFormat="1" ht="15" customHeight="1">
      <c r="A226" s="94"/>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s="12"/>
      <c r="DS226" s="12"/>
    </row>
  </sheetData>
  <sheetProtection algorithmName="SHA-512" hashValue="YOxjw7QZBLOE3lH4vXz6z+6tlHkcwuDgL4LI3ZZoeUTE3f5Rp2G3cBQe7qzz9b9Cx7jl5Bkq6cGLcKkl///qig==" saltValue="hNQjjSkEwFdNnBrHOAdbqQ==" spinCount="100000" sheet="1" objects="1" scenarios="1" selectLockedCells="1" selectUnlockedCells="1"/>
  <mergeCells count="274">
    <mergeCell ref="R215:AW215"/>
    <mergeCell ref="R219:AW219"/>
    <mergeCell ref="F89:V89"/>
    <mergeCell ref="W89:BR89"/>
    <mergeCell ref="CJ85:DN85"/>
    <mergeCell ref="G196:AP196"/>
    <mergeCell ref="G176:AP176"/>
    <mergeCell ref="G111:DN111"/>
    <mergeCell ref="F113:DO113"/>
    <mergeCell ref="F120:DO120"/>
    <mergeCell ref="G122:DN122"/>
    <mergeCell ref="F126:DO126"/>
    <mergeCell ref="G128:DN128"/>
    <mergeCell ref="F130:DO130"/>
    <mergeCell ref="F147:BD147"/>
    <mergeCell ref="W101:BR101"/>
    <mergeCell ref="BU101:CI101"/>
    <mergeCell ref="CJ101:DN101"/>
    <mergeCell ref="F93:V93"/>
    <mergeCell ref="W93:BR93"/>
    <mergeCell ref="BU93:CI93"/>
    <mergeCell ref="CJ93:DN93"/>
    <mergeCell ref="F97:V97"/>
    <mergeCell ref="W97:BR97"/>
    <mergeCell ref="BU97:CI97"/>
    <mergeCell ref="CJ97:DN97"/>
    <mergeCell ref="Y61:AE61"/>
    <mergeCell ref="AG43:AI43"/>
    <mergeCell ref="CW61:DD61"/>
    <mergeCell ref="CW42:CY42"/>
    <mergeCell ref="DB42:DD42"/>
    <mergeCell ref="AK43:AM43"/>
    <mergeCell ref="DB63:DD63"/>
    <mergeCell ref="CZ63:DA63"/>
    <mergeCell ref="CW62:CY62"/>
    <mergeCell ref="DB62:DD62"/>
    <mergeCell ref="CZ62:DA62"/>
    <mergeCell ref="CF63:CG63"/>
    <mergeCell ref="AC62:AE62"/>
    <mergeCell ref="CV58:DN58"/>
    <mergeCell ref="CL63:CO63"/>
    <mergeCell ref="DL52:DM52"/>
    <mergeCell ref="AP58:BG58"/>
    <mergeCell ref="Y62:AA62"/>
    <mergeCell ref="AG61:AM61"/>
    <mergeCell ref="DF61:DM61"/>
    <mergeCell ref="DK42:DM42"/>
    <mergeCell ref="Y42:AA42"/>
    <mergeCell ref="DF41:DM41"/>
    <mergeCell ref="DL32:DM32"/>
    <mergeCell ref="Y41:AE41"/>
    <mergeCell ref="F18:V18"/>
    <mergeCell ref="CJ18:DN18"/>
    <mergeCell ref="F22:V22"/>
    <mergeCell ref="CJ22:DN22"/>
    <mergeCell ref="X36:DN36"/>
    <mergeCell ref="X38:AN38"/>
    <mergeCell ref="AP38:BG38"/>
    <mergeCell ref="CW41:DD41"/>
    <mergeCell ref="CC41:CJ41"/>
    <mergeCell ref="CO32:CQ32"/>
    <mergeCell ref="CR32:DK32"/>
    <mergeCell ref="CL41:CS41"/>
    <mergeCell ref="AG41:AM41"/>
    <mergeCell ref="BI38:BZ38"/>
    <mergeCell ref="CB38:CT38"/>
    <mergeCell ref="AQ41:AX41"/>
    <mergeCell ref="AZ41:BF41"/>
    <mergeCell ref="BJ41:BP41"/>
    <mergeCell ref="BR41:BY41"/>
    <mergeCell ref="DK43:DM43"/>
    <mergeCell ref="DI43:DJ43"/>
    <mergeCell ref="DI42:DJ42"/>
    <mergeCell ref="AC43:AE43"/>
    <mergeCell ref="AQ42:AT42"/>
    <mergeCell ref="AV42:AX42"/>
    <mergeCell ref="CZ42:DA42"/>
    <mergeCell ref="AQ43:AT43"/>
    <mergeCell ref="AV43:AX43"/>
    <mergeCell ref="CC43:CE43"/>
    <mergeCell ref="AC42:AE42"/>
    <mergeCell ref="DF43:DH43"/>
    <mergeCell ref="Y43:AA43"/>
    <mergeCell ref="CQ42:CS42"/>
    <mergeCell ref="CL43:CO43"/>
    <mergeCell ref="CQ43:CS43"/>
    <mergeCell ref="AZ42:BB42"/>
    <mergeCell ref="BD42:BF42"/>
    <mergeCell ref="BJ42:BL42"/>
    <mergeCell ref="BN42:BP42"/>
    <mergeCell ref="BR42:BT42"/>
    <mergeCell ref="BV42:BY42"/>
    <mergeCell ref="AZ43:BB43"/>
    <mergeCell ref="CC42:CE42"/>
    <mergeCell ref="CF42:CG42"/>
    <mergeCell ref="CL42:CO42"/>
    <mergeCell ref="CH42:CJ42"/>
    <mergeCell ref="F69:DN69"/>
    <mergeCell ref="F85:V85"/>
    <mergeCell ref="W85:BR85"/>
    <mergeCell ref="BU85:CI85"/>
    <mergeCell ref="AK63:AM63"/>
    <mergeCell ref="F109:DO109"/>
    <mergeCell ref="AQ63:AT63"/>
    <mergeCell ref="AV63:AX63"/>
    <mergeCell ref="AZ63:BB63"/>
    <mergeCell ref="BD63:BF63"/>
    <mergeCell ref="BJ63:BL63"/>
    <mergeCell ref="BN63:BP63"/>
    <mergeCell ref="BR63:BT63"/>
    <mergeCell ref="BV63:BY63"/>
    <mergeCell ref="CC63:CE63"/>
    <mergeCell ref="Y63:AA63"/>
    <mergeCell ref="AC63:AE63"/>
    <mergeCell ref="AG63:AI63"/>
    <mergeCell ref="BU89:CI89"/>
    <mergeCell ref="CJ89:DN89"/>
    <mergeCell ref="D77:DQ77"/>
    <mergeCell ref="D79:DQ79"/>
    <mergeCell ref="D81:DQ81"/>
    <mergeCell ref="F101:V101"/>
    <mergeCell ref="DK62:DM62"/>
    <mergeCell ref="CH62:CJ62"/>
    <mergeCell ref="DI62:DJ62"/>
    <mergeCell ref="DF63:DH63"/>
    <mergeCell ref="DK63:DM63"/>
    <mergeCell ref="CQ63:CS63"/>
    <mergeCell ref="CQ62:CS62"/>
    <mergeCell ref="DI63:DJ63"/>
    <mergeCell ref="DF62:DH62"/>
    <mergeCell ref="CH63:CJ63"/>
    <mergeCell ref="AG62:AI62"/>
    <mergeCell ref="G50:V64"/>
    <mergeCell ref="CL61:CS61"/>
    <mergeCell ref="AK62:AM62"/>
    <mergeCell ref="CW63:CY63"/>
    <mergeCell ref="BD43:BF43"/>
    <mergeCell ref="BJ43:BL43"/>
    <mergeCell ref="BN43:BP43"/>
    <mergeCell ref="BR43:BT43"/>
    <mergeCell ref="BV43:BY43"/>
    <mergeCell ref="CF43:CG43"/>
    <mergeCell ref="X58:AN58"/>
    <mergeCell ref="X56:DN56"/>
    <mergeCell ref="G30:V44"/>
    <mergeCell ref="AI32:BH32"/>
    <mergeCell ref="AG32:AH32"/>
    <mergeCell ref="AG52:AH52"/>
    <mergeCell ref="AI52:BH52"/>
    <mergeCell ref="AG42:AI42"/>
    <mergeCell ref="AK42:AM42"/>
    <mergeCell ref="CH43:CJ43"/>
    <mergeCell ref="CV38:DN38"/>
    <mergeCell ref="DF42:DH42"/>
    <mergeCell ref="CW43:CY43"/>
    <mergeCell ref="CO52:CQ52"/>
    <mergeCell ref="CR52:DK52"/>
    <mergeCell ref="CZ43:DA43"/>
    <mergeCell ref="DB43:DD43"/>
    <mergeCell ref="F104:DO104"/>
    <mergeCell ref="G106:DN106"/>
    <mergeCell ref="E146:DP146"/>
    <mergeCell ref="E142:H142"/>
    <mergeCell ref="I142:AP142"/>
    <mergeCell ref="AS142:BX142"/>
    <mergeCell ref="BZ142:CF142"/>
    <mergeCell ref="CH142:CM142"/>
    <mergeCell ref="CO142:CZ142"/>
    <mergeCell ref="DB142:DI142"/>
    <mergeCell ref="DK142:DP142"/>
    <mergeCell ref="E144:H144"/>
    <mergeCell ref="I144:AP144"/>
    <mergeCell ref="AS144:BX144"/>
    <mergeCell ref="BZ144:CF144"/>
    <mergeCell ref="CH144:CM144"/>
    <mergeCell ref="CO144:CZ144"/>
    <mergeCell ref="DB144:DI144"/>
    <mergeCell ref="DK144:DP144"/>
    <mergeCell ref="BI58:BZ58"/>
    <mergeCell ref="O5:BP6"/>
    <mergeCell ref="BU2:DS4"/>
    <mergeCell ref="BU5:DS6"/>
    <mergeCell ref="W14:BP14"/>
    <mergeCell ref="BS14:CI14"/>
    <mergeCell ref="W18:BP18"/>
    <mergeCell ref="BS18:CI18"/>
    <mergeCell ref="W22:BP22"/>
    <mergeCell ref="BS22:CI22"/>
    <mergeCell ref="F14:V14"/>
    <mergeCell ref="CJ14:DN14"/>
    <mergeCell ref="CB58:CT58"/>
    <mergeCell ref="AQ61:AX61"/>
    <mergeCell ref="AZ61:BF61"/>
    <mergeCell ref="BJ61:BP61"/>
    <mergeCell ref="BR61:BY61"/>
    <mergeCell ref="CC61:CJ61"/>
    <mergeCell ref="AQ62:AT62"/>
    <mergeCell ref="AV62:AX62"/>
    <mergeCell ref="AZ62:BB62"/>
    <mergeCell ref="BD62:BF62"/>
    <mergeCell ref="BJ62:BL62"/>
    <mergeCell ref="BN62:BP62"/>
    <mergeCell ref="CC62:CE62"/>
    <mergeCell ref="CF62:CG62"/>
    <mergeCell ref="CL62:CO62"/>
    <mergeCell ref="BR62:BT62"/>
    <mergeCell ref="BV62:BY62"/>
    <mergeCell ref="E138:AP139"/>
    <mergeCell ref="AR138:BX138"/>
    <mergeCell ref="BZ138:CF138"/>
    <mergeCell ref="CH138:CM138"/>
    <mergeCell ref="CO138:CZ138"/>
    <mergeCell ref="DB138:DI138"/>
    <mergeCell ref="DK138:DP138"/>
    <mergeCell ref="AR139:BX139"/>
    <mergeCell ref="BZ139:CF139"/>
    <mergeCell ref="CH139:CM139"/>
    <mergeCell ref="CO139:CZ139"/>
    <mergeCell ref="DB139:DI139"/>
    <mergeCell ref="DK139:DP139"/>
    <mergeCell ref="E150:CG150"/>
    <mergeCell ref="CH150:CM150"/>
    <mergeCell ref="CO150:DJ150"/>
    <mergeCell ref="DK150:DP150"/>
    <mergeCell ref="CH151:CM151"/>
    <mergeCell ref="D153:DQ153"/>
    <mergeCell ref="E156:BX160"/>
    <mergeCell ref="BZ156:DI156"/>
    <mergeCell ref="DK156:DP156"/>
    <mergeCell ref="BZ158:DI158"/>
    <mergeCell ref="DK158:DP158"/>
    <mergeCell ref="BZ160:DI160"/>
    <mergeCell ref="DK160:DP160"/>
    <mergeCell ref="G192:AP192"/>
    <mergeCell ref="AS192:CA192"/>
    <mergeCell ref="CC192:DN192"/>
    <mergeCell ref="G194:AP194"/>
    <mergeCell ref="AS194:CA194"/>
    <mergeCell ref="CC194:DN194"/>
    <mergeCell ref="G170:AP170"/>
    <mergeCell ref="AS170:CA170"/>
    <mergeCell ref="CC170:DN170"/>
    <mergeCell ref="AS172:CA172"/>
    <mergeCell ref="CC172:DN172"/>
    <mergeCell ref="AS174:CA174"/>
    <mergeCell ref="CC174:DN174"/>
    <mergeCell ref="AS176:CA176"/>
    <mergeCell ref="CC176:DN176"/>
    <mergeCell ref="G172:AP172"/>
    <mergeCell ref="G174:AP174"/>
    <mergeCell ref="C219:Q219"/>
    <mergeCell ref="AZ219:BL219"/>
    <mergeCell ref="BM219:CR219"/>
    <mergeCell ref="CU219:CZ219"/>
    <mergeCell ref="DA219:DQ219"/>
    <mergeCell ref="F185:DO185"/>
    <mergeCell ref="F187:DO187"/>
    <mergeCell ref="F205:DO205"/>
    <mergeCell ref="AS196:CA196"/>
    <mergeCell ref="CC196:DN196"/>
    <mergeCell ref="F206:DO206"/>
    <mergeCell ref="G208:AB208"/>
    <mergeCell ref="AD208:AY208"/>
    <mergeCell ref="BA208:BS208"/>
    <mergeCell ref="BU208:CQ208"/>
    <mergeCell ref="CS208:DN208"/>
    <mergeCell ref="C215:Q215"/>
    <mergeCell ref="AZ215:BL215"/>
    <mergeCell ref="BM215:CR215"/>
    <mergeCell ref="CU215:CZ215"/>
    <mergeCell ref="DA215:DQ215"/>
    <mergeCell ref="G190:AP190"/>
    <mergeCell ref="AS190:CA190"/>
    <mergeCell ref="CC190:DN190"/>
  </mergeCells>
  <conditionalFormatting sqref="CH150">
    <cfRule type="cellIs" dxfId="4" priority="8" operator="notEqual">
      <formula>#REF!</formula>
    </cfRule>
  </conditionalFormatting>
  <conditionalFormatting sqref="DK150:DP150">
    <cfRule type="cellIs" dxfId="3" priority="1" operator="notEqual">
      <formula>100</formula>
    </cfRule>
  </conditionalFormatting>
  <conditionalFormatting sqref="DK156:DP156">
    <cfRule type="cellIs" dxfId="2" priority="3" operator="notEqual">
      <formula>60</formula>
    </cfRule>
  </conditionalFormatting>
  <conditionalFormatting sqref="DK158:DP158">
    <cfRule type="cellIs" dxfId="1" priority="2" operator="notEqual">
      <formula>40</formula>
    </cfRule>
  </conditionalFormatting>
  <conditionalFormatting sqref="DK160:DP160">
    <cfRule type="cellIs" dxfId="0" priority="4" operator="notEqual">
      <formula>100</formula>
    </cfRule>
  </conditionalFormatting>
  <dataValidations count="3">
    <dataValidation type="list" allowBlank="1" showInputMessage="1" showErrorMessage="1" sqref="CQ43 BV43:BY43 DK43:DM43 CH43 AC43 AK43 BN43:BP43 DB43 BD43:BF43 AV43:AX43 CQ63 BV63:BY63 DK63:DM63 CH63 AC63 AK63 BN63:BP63 DB63 BD63:BF63 AV63:AX63">
      <formula1>"08,09,10,11,12,13,14,15,16,17,18,19,20,21,22"</formula1>
    </dataValidation>
    <dataValidation type="list" allowBlank="1" showInputMessage="1" showErrorMessage="1" sqref="AZ43:BB43 BR43:BT43 CC43 DF43:DH43 CW43 AG43 CL43 Y43 AQ43:AT43 BJ43:BL43 AZ63:BB63 BR63:BT63 CC63 DF63:DH63 CW63 AG63 CL63 Y63 AQ63:AT63 BJ63:BL63">
      <formula1>"00,15,30,45"</formula1>
    </dataValidation>
    <dataValidation type="list" allowBlank="1" showInputMessage="1" showErrorMessage="1" sqref="BZ142 BZ144:CF144">
      <formula1>"الأول,الثاني,الثالث,الرابع,الخامس,السادس,السابع,الثامن,التاسع,العاشر,الحادي عشر,الثاني عشر,الثالث عشر"</formula1>
    </dataValidation>
  </dataValidations>
  <hyperlinks>
    <hyperlink ref="E205:F205" location="'توصيف المقرر التدريبي'!BY258" display="1.  أدرج رابط الإستبانة الالكتروني أمام المجال المطلوب قياسه في خلية ( BY258 )."/>
  </hyperlinks>
  <printOptions horizontalCentered="1"/>
  <pageMargins left="0.11811023622047245" right="0.11811023622047245" top="0.11811023622047245" bottom="0.11811023622047245" header="0.31496062992125984" footer="0.31496062992125984"/>
  <pageSetup paperSize="9" scale="92" fitToWidth="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24</xdr:col>
                    <xdr:colOff>28575</xdr:colOff>
                    <xdr:row>30</xdr:row>
                    <xdr:rowOff>123825</xdr:rowOff>
                  </from>
                  <to>
                    <xdr:col>32</xdr:col>
                    <xdr:colOff>9525</xdr:colOff>
                    <xdr:row>32</xdr:row>
                    <xdr:rowOff>19050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64</xdr:col>
                    <xdr:colOff>0</xdr:colOff>
                    <xdr:row>30</xdr:row>
                    <xdr:rowOff>133350</xdr:rowOff>
                  </from>
                  <to>
                    <xdr:col>80</xdr:col>
                    <xdr:colOff>57150</xdr:colOff>
                    <xdr:row>32</xdr:row>
                    <xdr:rowOff>28575</xdr:rowOff>
                  </to>
                </anchor>
              </controlPr>
            </control>
          </mc:Choice>
        </mc:AlternateContent>
        <mc:AlternateContent xmlns:mc="http://schemas.openxmlformats.org/markup-compatibility/2006">
          <mc:Choice Requires="x14">
            <control shapeId="13315" r:id="rId6" name="Check Box 3">
              <controlPr defaultSize="0" autoFill="0" autoLine="0" autoPict="0" altText="أخرى">
                <anchor moveWithCells="1">
                  <from>
                    <xdr:col>85</xdr:col>
                    <xdr:colOff>28575</xdr:colOff>
                    <xdr:row>30</xdr:row>
                    <xdr:rowOff>133350</xdr:rowOff>
                  </from>
                  <to>
                    <xdr:col>94</xdr:col>
                    <xdr:colOff>28575</xdr:colOff>
                    <xdr:row>32</xdr:row>
                    <xdr:rowOff>19050</xdr:rowOff>
                  </to>
                </anchor>
              </controlPr>
            </control>
          </mc:Choice>
        </mc:AlternateContent>
        <mc:AlternateContent xmlns:mc="http://schemas.openxmlformats.org/markup-compatibility/2006">
          <mc:Choice Requires="x14">
            <control shapeId="13323" r:id="rId7" name="Check Box 11">
              <controlPr defaultSize="0" autoFill="0" autoLine="0" autoPict="0">
                <anchor moveWithCells="1">
                  <from>
                    <xdr:col>24</xdr:col>
                    <xdr:colOff>28575</xdr:colOff>
                    <xdr:row>50</xdr:row>
                    <xdr:rowOff>123825</xdr:rowOff>
                  </from>
                  <to>
                    <xdr:col>32</xdr:col>
                    <xdr:colOff>9525</xdr:colOff>
                    <xdr:row>52</xdr:row>
                    <xdr:rowOff>19050</xdr:rowOff>
                  </to>
                </anchor>
              </controlPr>
            </control>
          </mc:Choice>
        </mc:AlternateContent>
        <mc:AlternateContent xmlns:mc="http://schemas.openxmlformats.org/markup-compatibility/2006">
          <mc:Choice Requires="x14">
            <control shapeId="13324" r:id="rId8" name="Check Box 12">
              <controlPr defaultSize="0" autoFill="0" autoLine="0" autoPict="0">
                <anchor moveWithCells="1">
                  <from>
                    <xdr:col>64</xdr:col>
                    <xdr:colOff>0</xdr:colOff>
                    <xdr:row>50</xdr:row>
                    <xdr:rowOff>133350</xdr:rowOff>
                  </from>
                  <to>
                    <xdr:col>80</xdr:col>
                    <xdr:colOff>57150</xdr:colOff>
                    <xdr:row>52</xdr:row>
                    <xdr:rowOff>28575</xdr:rowOff>
                  </to>
                </anchor>
              </controlPr>
            </control>
          </mc:Choice>
        </mc:AlternateContent>
        <mc:AlternateContent xmlns:mc="http://schemas.openxmlformats.org/markup-compatibility/2006">
          <mc:Choice Requires="x14">
            <control shapeId="13325" r:id="rId9" name="Check Box 13">
              <controlPr defaultSize="0" autoFill="0" autoLine="0" autoPict="0" altText="أخرى">
                <anchor moveWithCells="1">
                  <from>
                    <xdr:col>85</xdr:col>
                    <xdr:colOff>28575</xdr:colOff>
                    <xdr:row>50</xdr:row>
                    <xdr:rowOff>133350</xdr:rowOff>
                  </from>
                  <to>
                    <xdr:col>94</xdr:col>
                    <xdr:colOff>28575</xdr:colOff>
                    <xdr:row>52</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6">
        <x14:dataValidation type="list" allowBlank="1" showInputMessage="1" showErrorMessage="1">
          <x14:formula1>
            <xm:f>Data!$C$2:$C$12</xm:f>
          </x14:formula1>
          <xm:sqref>DB142 DB144</xm:sqref>
        </x14:dataValidation>
        <x14:dataValidation type="list" allowBlank="1" showInputMessage="1" showErrorMessage="1">
          <x14:formula1>
            <xm:f>Data!$K$2:$K$12</xm:f>
          </x14:formula1>
          <xm:sqref>CO142 CO144</xm:sqref>
        </x14:dataValidation>
        <x14:dataValidation type="list" allowBlank="1" showInputMessage="1" showErrorMessage="1">
          <x14:formula1>
            <xm:f>Data!$D$2:$D$4</xm:f>
          </x14:formula1>
          <xm:sqref>W101:AY101</xm:sqref>
        </x14:dataValidation>
        <x14:dataValidation type="list" allowBlank="1" showInputMessage="1" showErrorMessage="1">
          <x14:formula1>
            <xm:f>Data!$G$2:$G$13</xm:f>
          </x14:formula1>
          <xm:sqref>CJ97:DN97 CJ93:DN93 CH142:CM142 CH144:CM144</xm:sqref>
        </x14:dataValidation>
        <x14:dataValidation type="list" allowBlank="1" showInputMessage="1" showErrorMessage="1">
          <x14:formula1>
            <xm:f>Data!$H$2:$H$5</xm:f>
          </x14:formula1>
          <xm:sqref>CJ85:DN85</xm:sqref>
        </x14:dataValidation>
        <x14:dataValidation type="list" allowBlank="1" showInputMessage="1" showErrorMessage="1">
          <x14:formula1>
            <xm:f>Data!$F$2:$F$7</xm:f>
          </x14:formula1>
          <xm:sqref>CJ89:DN89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ورقة21"/>
  <dimension ref="A1:K14"/>
  <sheetViews>
    <sheetView rightToLeft="1" zoomScale="130" zoomScaleNormal="130" workbookViewId="0">
      <selection activeCell="M12" sqref="M12"/>
    </sheetView>
  </sheetViews>
  <sheetFormatPr defaultColWidth="9" defaultRowHeight="14.25"/>
  <cols>
    <col min="1" max="1" width="9" style="1"/>
    <col min="2" max="2" width="15.42578125" style="1" bestFit="1" customWidth="1"/>
    <col min="3" max="10" width="9" style="1"/>
    <col min="11" max="11" width="13" style="1" bestFit="1" customWidth="1"/>
    <col min="12" max="16384" width="9" style="1"/>
  </cols>
  <sheetData>
    <row r="1" spans="1:11">
      <c r="A1" s="1" t="s">
        <v>1130</v>
      </c>
      <c r="B1" s="1" t="s">
        <v>1131</v>
      </c>
      <c r="C1" s="1" t="s">
        <v>1132</v>
      </c>
      <c r="D1" s="1" t="s">
        <v>1133</v>
      </c>
      <c r="E1" s="1" t="s">
        <v>1134</v>
      </c>
      <c r="F1" s="1" t="s">
        <v>958</v>
      </c>
      <c r="G1" s="1" t="s">
        <v>962</v>
      </c>
      <c r="H1" s="1" t="s">
        <v>954</v>
      </c>
      <c r="I1" s="1" t="s">
        <v>981</v>
      </c>
      <c r="K1" s="1" t="s">
        <v>1131</v>
      </c>
    </row>
    <row r="2" spans="1:11">
      <c r="A2" s="1" t="s">
        <v>940</v>
      </c>
      <c r="B2" s="1" t="s">
        <v>1135</v>
      </c>
      <c r="C2" s="1" t="s">
        <v>969</v>
      </c>
      <c r="D2" s="1" t="s">
        <v>1136</v>
      </c>
      <c r="E2" s="1" t="s">
        <v>1137</v>
      </c>
      <c r="F2" s="1" t="s">
        <v>994</v>
      </c>
      <c r="G2" s="1">
        <v>1</v>
      </c>
      <c r="H2" s="1" t="s">
        <v>955</v>
      </c>
      <c r="I2" s="1" t="s">
        <v>994</v>
      </c>
      <c r="K2" s="1" t="s">
        <v>995</v>
      </c>
    </row>
    <row r="3" spans="1:11">
      <c r="A3" s="1" t="s">
        <v>941</v>
      </c>
      <c r="B3" s="1" t="s">
        <v>1138</v>
      </c>
      <c r="C3" s="1" t="s">
        <v>1010</v>
      </c>
      <c r="D3" s="1" t="s">
        <v>1115</v>
      </c>
      <c r="E3" s="1" t="s">
        <v>1139</v>
      </c>
      <c r="F3" s="1" t="s">
        <v>959</v>
      </c>
      <c r="G3" s="1">
        <v>2</v>
      </c>
      <c r="H3" s="1" t="s">
        <v>1140</v>
      </c>
      <c r="I3" s="1" t="s">
        <v>959</v>
      </c>
      <c r="K3" s="1" t="s">
        <v>1038</v>
      </c>
    </row>
    <row r="4" spans="1:11">
      <c r="A4" s="1" t="s">
        <v>942</v>
      </c>
      <c r="B4" s="1" t="s">
        <v>1141</v>
      </c>
      <c r="C4" s="1" t="s">
        <v>1142</v>
      </c>
      <c r="D4" s="1" t="s">
        <v>967</v>
      </c>
      <c r="F4" s="1" t="s">
        <v>1004</v>
      </c>
      <c r="G4" s="1">
        <v>3</v>
      </c>
      <c r="H4" s="1" t="s">
        <v>1143</v>
      </c>
      <c r="I4" s="1" t="s">
        <v>1004</v>
      </c>
      <c r="K4" s="1" t="s">
        <v>1144</v>
      </c>
    </row>
    <row r="5" spans="1:11">
      <c r="A5" s="1" t="s">
        <v>1145</v>
      </c>
      <c r="B5" s="1" t="s">
        <v>1146</v>
      </c>
      <c r="C5" s="1" t="s">
        <v>1000</v>
      </c>
      <c r="F5" s="1" t="s">
        <v>1009</v>
      </c>
      <c r="G5" s="1">
        <v>4</v>
      </c>
      <c r="H5" s="1" t="s">
        <v>1147</v>
      </c>
      <c r="I5" s="1" t="s">
        <v>1009</v>
      </c>
      <c r="K5" s="1" t="s">
        <v>1135</v>
      </c>
    </row>
    <row r="6" spans="1:11">
      <c r="A6" s="1" t="s">
        <v>944</v>
      </c>
      <c r="B6" s="1" t="s">
        <v>1148</v>
      </c>
      <c r="C6" s="1" t="s">
        <v>996</v>
      </c>
      <c r="F6" s="1" t="s">
        <v>1014</v>
      </c>
      <c r="G6" s="1">
        <v>5</v>
      </c>
      <c r="I6" s="1" t="s">
        <v>1014</v>
      </c>
      <c r="K6" s="1" t="s">
        <v>1149</v>
      </c>
    </row>
    <row r="7" spans="1:11">
      <c r="B7" s="1" t="s">
        <v>1150</v>
      </c>
      <c r="C7" s="1" t="s">
        <v>1005</v>
      </c>
      <c r="F7" s="1" t="s">
        <v>1018</v>
      </c>
      <c r="G7" s="1">
        <v>6</v>
      </c>
      <c r="I7" s="1" t="s">
        <v>1018</v>
      </c>
      <c r="K7" s="1" t="s">
        <v>1151</v>
      </c>
    </row>
    <row r="8" spans="1:11">
      <c r="B8" s="1" t="s">
        <v>1152</v>
      </c>
      <c r="C8" s="1" t="s">
        <v>1019</v>
      </c>
      <c r="F8" s="1" t="s">
        <v>1023</v>
      </c>
      <c r="G8" s="1">
        <v>7</v>
      </c>
      <c r="I8" s="1" t="s">
        <v>1023</v>
      </c>
      <c r="K8" s="1" t="s">
        <v>1153</v>
      </c>
    </row>
    <row r="9" spans="1:11">
      <c r="B9" s="1" t="s">
        <v>1153</v>
      </c>
      <c r="C9" s="1" t="s">
        <v>1024</v>
      </c>
      <c r="F9" s="1" t="s">
        <v>1028</v>
      </c>
      <c r="G9" s="1">
        <v>8</v>
      </c>
      <c r="I9" s="1" t="s">
        <v>1028</v>
      </c>
      <c r="K9" s="1" t="s">
        <v>1154</v>
      </c>
    </row>
    <row r="10" spans="1:11">
      <c r="B10" s="1" t="s">
        <v>1155</v>
      </c>
      <c r="C10" s="1" t="s">
        <v>1156</v>
      </c>
      <c r="F10" s="1" t="s">
        <v>1032</v>
      </c>
      <c r="G10" s="1">
        <v>9</v>
      </c>
      <c r="I10" s="1" t="s">
        <v>1032</v>
      </c>
      <c r="K10" s="1" t="s">
        <v>1157</v>
      </c>
    </row>
    <row r="11" spans="1:11">
      <c r="C11" s="1" t="s">
        <v>1158</v>
      </c>
      <c r="G11" s="1">
        <v>10</v>
      </c>
      <c r="I11" s="1" t="s">
        <v>1037</v>
      </c>
      <c r="K11" s="1" t="s">
        <v>1159</v>
      </c>
    </row>
    <row r="12" spans="1:11">
      <c r="C12" s="1" t="s">
        <v>1033</v>
      </c>
      <c r="G12" s="1">
        <v>11</v>
      </c>
      <c r="I12" s="1" t="s">
        <v>1160</v>
      </c>
      <c r="K12" s="1" t="s">
        <v>1161</v>
      </c>
    </row>
    <row r="13" spans="1:11">
      <c r="G13" s="1">
        <v>12</v>
      </c>
      <c r="I13" s="1" t="s">
        <v>1162</v>
      </c>
    </row>
    <row r="14" spans="1:11">
      <c r="I14" s="1" t="s">
        <v>1163</v>
      </c>
    </row>
  </sheetData>
  <sheetProtection algorithmName="SHA-512" hashValue="dFv62XQpm/ElO/fu/vfItY5juMXtWZ9/qs6MQmsq2+hXpQ6x1a9WVdKSb0ofo5lMbq3n2OSwUn3GewuUHnws0Q==" saltValue="jiOCzBUPO0lHolcflhhH4w==" spinCount="100000" sheet="1" objects="1" scenarios="1"/>
  <sortState ref="B2:B16">
    <sortCondition ref="B2:B16"/>
  </sortState>
  <phoneticPr fontId="4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tebookType xmlns="ca303135-bb4e-4dd0-ab12-b83d2fbe2a21" xsi:nil="true"/>
    <FolderType xmlns="ca303135-bb4e-4dd0-ab12-b83d2fbe2a21" xsi:nil="true"/>
    <Teachers xmlns="ca303135-bb4e-4dd0-ab12-b83d2fbe2a21">
      <UserInfo>
        <DisplayName/>
        <AccountId xsi:nil="true"/>
        <AccountType/>
      </UserInfo>
    </Teachers>
    <DefaultSectionNames xmlns="ca303135-bb4e-4dd0-ab12-b83d2fbe2a21" xsi:nil="true"/>
    <Is_Collaboration_Space_Locked xmlns="ca303135-bb4e-4dd0-ab12-b83d2fbe2a21" xsi:nil="true"/>
    <_activity xmlns="ca303135-bb4e-4dd0-ab12-b83d2fbe2a21" xsi:nil="true"/>
    <Owner xmlns="ca303135-bb4e-4dd0-ab12-b83d2fbe2a21">
      <UserInfo>
        <DisplayName/>
        <AccountId xsi:nil="true"/>
        <AccountType/>
      </UserInfo>
    </Owner>
    <Invited_Teachers xmlns="ca303135-bb4e-4dd0-ab12-b83d2fbe2a21" xsi:nil="true"/>
    <Invited_Students xmlns="ca303135-bb4e-4dd0-ab12-b83d2fbe2a21" xsi:nil="true"/>
    <Templates xmlns="ca303135-bb4e-4dd0-ab12-b83d2fbe2a21" xsi:nil="true"/>
    <CultureName xmlns="ca303135-bb4e-4dd0-ab12-b83d2fbe2a21" xsi:nil="true"/>
    <AppVersion xmlns="ca303135-bb4e-4dd0-ab12-b83d2fbe2a21" xsi:nil="true"/>
    <Students xmlns="ca303135-bb4e-4dd0-ab12-b83d2fbe2a21">
      <UserInfo>
        <DisplayName/>
        <AccountId xsi:nil="true"/>
        <AccountType/>
      </UserInfo>
    </Students>
    <Student_Groups xmlns="ca303135-bb4e-4dd0-ab12-b83d2fbe2a21">
      <UserInfo>
        <DisplayName/>
        <AccountId xsi:nil="true"/>
        <AccountType/>
      </UserInfo>
    </Student_Groups>
    <Self_Registration_Enabled xmlns="ca303135-bb4e-4dd0-ab12-b83d2fbe2a21" xsi:nil="true"/>
    <Has_Teacher_Only_SectionGroup xmlns="ca303135-bb4e-4dd0-ab12-b83d2fbe2a2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52F52F8BCC664D928286CB71B3225E" ma:contentTypeVersion="30" ma:contentTypeDescription="Create a new document." ma:contentTypeScope="" ma:versionID="4d0b587b05622bdc702f3ffaa530dc21">
  <xsd:schema xmlns:xsd="http://www.w3.org/2001/XMLSchema" xmlns:xs="http://www.w3.org/2001/XMLSchema" xmlns:p="http://schemas.microsoft.com/office/2006/metadata/properties" xmlns:ns3="eb641571-9656-4bb4-a880-88798bd058d3" xmlns:ns4="ca303135-bb4e-4dd0-ab12-b83d2fbe2a21" targetNamespace="http://schemas.microsoft.com/office/2006/metadata/properties" ma:root="true" ma:fieldsID="81c981f8a63e1f1cae22f9ca41731561" ns3:_="" ns4:_="">
    <xsd:import namespace="eb641571-9656-4bb4-a880-88798bd058d3"/>
    <xsd:import namespace="ca303135-bb4e-4dd0-ab12-b83d2fbe2a21"/>
    <xsd:element name="properties">
      <xsd:complexType>
        <xsd:sequence>
          <xsd:element name="documentManagement">
            <xsd:complexType>
              <xsd:all>
                <xsd:element ref="ns3:SharedWithUsers" minOccurs="0"/>
                <xsd:element ref="ns3:SharedWithDetails" minOccurs="0"/>
                <xsd:element ref="ns3:SharingHintHash" minOccurs="0"/>
                <xsd:element ref="ns4:NotebookType" minOccurs="0"/>
                <xsd:element ref="ns4:FolderType" minOccurs="0"/>
                <xsd:element ref="ns4:Owner" minOccurs="0"/>
                <xsd:element ref="ns4:DefaultSectionNames" minOccurs="0"/>
                <xsd:element ref="ns4:Templates" minOccurs="0"/>
                <xsd:element ref="ns4:CultureName" minOccurs="0"/>
                <xsd:element ref="ns4:AppVersion" minOccurs="0"/>
                <xsd:element ref="ns4:Teachers" minOccurs="0"/>
                <xsd:element ref="ns4:Students" minOccurs="0"/>
                <xsd:element ref="ns4:Student_Groups" minOccurs="0"/>
                <xsd:element ref="ns4:Invited_Teachers" minOccurs="0"/>
                <xsd:element ref="ns4:Invited_Students" minOccurs="0"/>
                <xsd:element ref="ns4:Self_Registration_Enabled" minOccurs="0"/>
                <xsd:element ref="ns4:Has_Teacher_Only_SectionGroup" minOccurs="0"/>
                <xsd:element ref="ns4:Is_Collaboration_Space_Locked"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MediaServiceAutoKeyPoints" minOccurs="0"/>
                <xsd:element ref="ns4:MediaServiceKeyPoints"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641571-9656-4bb4-a880-88798bd058d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303135-bb4e-4dd0-ab12-b83d2fbe2a21" elementFormDefault="qualified">
    <xsd:import namespace="http://schemas.microsoft.com/office/2006/documentManagement/types"/>
    <xsd:import namespace="http://schemas.microsoft.com/office/infopath/2007/PartnerControls"/>
    <xsd:element name="NotebookType" ma:index="11" nillable="true" ma:displayName="Notebook Type" ma:internalName="NotebookType">
      <xsd:simpleType>
        <xsd:restriction base="dms:Text"/>
      </xsd:simpleType>
    </xsd:element>
    <xsd:element name="FolderType" ma:index="12" nillable="true" ma:displayName="Folder Type" ma:internalName="FolderType">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faultSectionNames" ma:index="14" nillable="true" ma:displayName="Default Section Names" ma:internalName="DefaultSectionNames">
      <xsd:simpleType>
        <xsd:restriction base="dms:Note">
          <xsd:maxLength value="255"/>
        </xsd:restriction>
      </xsd:simpleType>
    </xsd:element>
    <xsd:element name="Templates" ma:index="15" nillable="true" ma:displayName="Templates" ma:internalName="Templates">
      <xsd:simpleType>
        <xsd:restriction base="dms:Note">
          <xsd:maxLength value="255"/>
        </xsd:restriction>
      </xsd:simpleType>
    </xsd:element>
    <xsd:element name="CultureName" ma:index="16" nillable="true" ma:displayName="Culture Name" ma:internalName="CultureName">
      <xsd:simpleType>
        <xsd:restriction base="dms:Text"/>
      </xsd:simpleType>
    </xsd:element>
    <xsd:element name="AppVersion" ma:index="17" nillable="true" ma:displayName="App Version" ma:internalName="AppVersion">
      <xsd:simpleType>
        <xsd:restriction base="dms:Text"/>
      </xsd:simpleType>
    </xsd:element>
    <xsd:element name="Teachers" ma:index="18"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9"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20"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vited_Teachers" ma:index="21" nillable="true" ma:displayName="Invited Teachers" ma:internalName="Invited_Teachers">
      <xsd:simpleType>
        <xsd:restriction base="dms:Note">
          <xsd:maxLength value="255"/>
        </xsd:restriction>
      </xsd:simpleType>
    </xsd:element>
    <xsd:element name="Invited_Students" ma:index="22" nillable="true" ma:displayName="Invited Students" ma:internalName="Invited_Students">
      <xsd:simpleType>
        <xsd:restriction base="dms:Note">
          <xsd:maxLength value="255"/>
        </xsd:restriction>
      </xsd:simpleType>
    </xsd:element>
    <xsd:element name="Self_Registration_Enabled" ma:index="23" nillable="true" ma:displayName="Self Registration Enabled" ma:internalName="Self_Registration_Enabled">
      <xsd:simpleType>
        <xsd:restriction base="dms:Boolean"/>
      </xsd:simpleType>
    </xsd:element>
    <xsd:element name="Has_Teacher_Only_SectionGroup" ma:index="24" nillable="true" ma:displayName="Has Teacher Only SectionGroup" ma:internalName="Has_Teacher_Only_SectionGroup">
      <xsd:simpleType>
        <xsd:restriction base="dms:Boolean"/>
      </xsd:simpleType>
    </xsd:element>
    <xsd:element name="Is_Collaboration_Space_Locked" ma:index="25" nillable="true" ma:displayName="Is Collaboration Space Locked" ma:internalName="Is_Collaboration_Space_Locked">
      <xsd:simpleType>
        <xsd:restriction base="dms:Boolean"/>
      </xsd:simpleType>
    </xsd:element>
    <xsd:element name="MediaServiceMetadata" ma:index="26" nillable="true" ma:displayName="MediaServiceMetadata" ma:description="" ma:hidden="true" ma:internalName="MediaServiceMetadata" ma:readOnly="true">
      <xsd:simpleType>
        <xsd:restriction base="dms:Note"/>
      </xsd:simpleType>
    </xsd:element>
    <xsd:element name="MediaServiceFastMetadata" ma:index="27" nillable="true" ma:displayName="MediaServiceFastMetadata" ma:description="" ma:hidden="true" ma:internalName="MediaServiceFastMetadata" ma:readOnly="true">
      <xsd:simpleType>
        <xsd:restriction base="dms:Note"/>
      </xsd:simpleType>
    </xsd:element>
    <xsd:element name="MediaServiceAutoTags" ma:index="28" nillable="true" ma:displayName="Tags" ma:internalName="MediaServiceAutoTags" ma:readOnly="true">
      <xsd:simpleType>
        <xsd:restriction base="dms:Text"/>
      </xsd:simple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DateTaken" ma:index="31" nillable="true" ma:displayName="MediaServiceDateTaken" ma:hidden="true" ma:internalName="MediaServiceDateTaken" ma:readOnly="true">
      <xsd:simpleType>
        <xsd:restriction base="dms:Text"/>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AutoKeyPoints" ma:index="33" nillable="true" ma:displayName="MediaServiceAutoKeyPoints" ma:hidden="true" ma:internalName="MediaServiceAutoKeyPoints" ma:readOnly="true">
      <xsd:simpleType>
        <xsd:restriction base="dms:Note"/>
      </xsd:simpleType>
    </xsd:element>
    <xsd:element name="MediaServiceKeyPoints" ma:index="34" nillable="true" ma:displayName="KeyPoints" ma:internalName="MediaServiceKeyPoints" ma:readOnly="true">
      <xsd:simpleType>
        <xsd:restriction base="dms:Note">
          <xsd:maxLength value="255"/>
        </xsd:restriction>
      </xsd:simpleType>
    </xsd:element>
    <xsd:element name="MediaServiceLocation" ma:index="35" nillable="true" ma:displayName="Location" ma:internalName="MediaServiceLocatio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_activity" ma:index="3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195D4B-0DDD-44B1-88CA-9FC58874F5D0}">
  <ds:schemaRefs>
    <ds:schemaRef ds:uri="http://schemas.microsoft.com/sharepoint/v3/contenttype/forms"/>
  </ds:schemaRefs>
</ds:datastoreItem>
</file>

<file path=customXml/itemProps2.xml><?xml version="1.0" encoding="utf-8"?>
<ds:datastoreItem xmlns:ds="http://schemas.openxmlformats.org/officeDocument/2006/customXml" ds:itemID="{C3E44154-F84F-4814-89C2-D5910A042E73}">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eb641571-9656-4bb4-a880-88798bd058d3"/>
    <ds:schemaRef ds:uri="http://purl.org/dc/elements/1.1/"/>
    <ds:schemaRef ds:uri="http://schemas.microsoft.com/office/infopath/2007/PartnerControls"/>
    <ds:schemaRef ds:uri="ca303135-bb4e-4dd0-ab12-b83d2fbe2a21"/>
    <ds:schemaRef ds:uri="http://www.w3.org/XML/1998/namespace"/>
    <ds:schemaRef ds:uri="http://purl.org/dc/dcmitype/"/>
  </ds:schemaRefs>
</ds:datastoreItem>
</file>

<file path=customXml/itemProps3.xml><?xml version="1.0" encoding="utf-8"?>
<ds:datastoreItem xmlns:ds="http://schemas.openxmlformats.org/officeDocument/2006/customXml" ds:itemID="{9F1BAF5D-141B-4ADA-8513-F674D0848C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641571-9656-4bb4-a880-88798bd058d3"/>
    <ds:schemaRef ds:uri="ca303135-bb4e-4dd0-ab12-b83d2fbe2a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توصيف المقرر التدريبي</vt:lpstr>
      <vt:lpstr>دليل استرشادي</vt:lpstr>
      <vt:lpstr>'توصيف المقرر التدريبي'!Print_Area</vt:lpstr>
      <vt:lpstr>'دليل استرشادي'!Print_Area</vt:lpstr>
      <vt:lpstr>'بيانات المدربين'!Print_Titles</vt:lpstr>
      <vt:lpstr>'توصيف المقرر التدريبي'!Print_Titles</vt:lpstr>
      <vt:lpstr>'دليل استرشادي'!Print_Titles</vt:lpstr>
      <vt:lpstr>'توصيف المقرر التدريبي'!zzz30</vt:lpstr>
      <vt:lpstr>'دليل استرشادي'!zzz30</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الجودة</dc:creator>
  <cp:keywords/>
  <dc:description/>
  <cp:lastModifiedBy>باسم عوض الحربي</cp:lastModifiedBy>
  <cp:revision/>
  <dcterms:created xsi:type="dcterms:W3CDTF">2022-03-29T09:19:14Z</dcterms:created>
  <dcterms:modified xsi:type="dcterms:W3CDTF">2024-09-11T08:33:10Z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0x0101003252F52F8BCC664D928286CB71B3225E</vt:lpwstr>
  </property>
</Properties>
</file>